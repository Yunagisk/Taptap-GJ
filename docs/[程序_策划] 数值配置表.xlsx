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基础状态" sheetId="2" r:id="rId5"/>
    <sheet name="武器普攻" sheetId="3" r:id="rId6"/>
    <sheet name="武器技能" sheetId="4" r:id="rId7"/>
    <sheet name="道具" sheetId="5" r:id="rId8"/>
    <sheet name="普通状态" sheetId="6" r:id="rId9"/>
    <sheet name="小怪" sheetId="7" r:id="rId10"/>
    <sheet name="Boss（待完善）" sheetId="8" r:id="rId11"/>
    <sheet name="小怪阶段性增强幅度" sheetId="9" r:id="rId12"/>
    <sheet name="事件（待完善）" sheetId="10" r:id="rId13"/>
    <sheet name="事件选项（待完善）" sheetId="11" r:id="rId14"/>
    <sheet name="事件结果（待完善）" sheetId="12" r:id="rId1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<sst xmlns="http://schemas.openxmlformats.org/spreadsheetml/2006/main" count="601" uniqueCount="601">
  <si>
    <t xml:space="preserve">  </t>
  </si>
  <si>
    <t xml:space="preserve">基础数值</t>
  </si>
  <si>
    <t xml:space="preserve">分类</t>
  </si>
  <si>
    <t xml:space="preserve">参数</t>
  </si>
  <si>
    <t xml:space="preserve">数值</t>
  </si>
  <si>
    <t xml:space="preserve">单位</t>
  </si>
  <si>
    <t xml:space="preserve">状态</t>
  </si>
  <si>
    <t xml:space="preserve">说明</t>
  </si>
  <si>
    <t xml:space="preserve">开局</t>
  </si>
  <si>
    <t xml:space="preserve">最大生命</t>
  </si>
  <si>
    <t xml:space="preserve">生命</t>
  </si>
  <si>
    <t xml:space="preserve">初测</t>
  </si>
  <si>
    <t xml:space="preserve">初始决心</t>
  </si>
  <si>
    <t xml:space="preserve">点</t>
  </si>
  <si>
    <t xml:space="preserve">初始提灯</t>
  </si>
  <si>
    <t xml:space="preserve">次</t>
  </si>
  <si>
    <t xml:space="preserve">初始罪骸</t>
  </si>
  <si>
    <t xml:space="preserve">罪骸</t>
  </si>
  <si>
    <t xml:space="preserve">已确认</t>
  </si>
  <si>
    <t xml:space="preserve">初始绷带</t>
  </si>
  <si>
    <t xml:space="preserve">份</t>
  </si>
  <si>
    <t xml:space="preserve">战斗</t>
  </si>
  <si>
    <t xml:space="preserve">决心上限</t>
  </si>
  <si>
    <t xml:space="preserve">提灯上限</t>
  </si>
  <si>
    <t xml:space="preserve">防御基础减伤</t>
  </si>
  <si>
    <t xml:space="preserve">比例</t>
  </si>
  <si>
    <t xml:space="preserve">直接伤害减伤50%；不影响中毒、点燃。</t>
  </si>
  <si>
    <t xml:space="preserve">防御减伤上限</t>
  </si>
  <si>
    <t xml:space="preserve">伤害</t>
  </si>
  <si>
    <t xml:space="preserve">弱点关系倍率</t>
  </si>
  <si>
    <t xml:space="preserve">倍率</t>
  </si>
  <si>
    <t xml:space="preserve">基础110%；傲慢100%，谦逊120%；加减10个百分点。</t>
  </si>
  <si>
    <t xml:space="preserve">攻击修正下限</t>
  </si>
  <si>
    <t xml:space="preserve">攻击修正上限</t>
  </si>
  <si>
    <t xml:space="preserve">恢复</t>
  </si>
  <si>
    <t xml:space="preserve">原地每单位恢复</t>
  </si>
  <si>
    <t xml:space="preserve">最大生命比例</t>
  </si>
  <si>
    <t xml:space="preserve">暴食/节制适用；治疗向下取整；不恢复提灯或决心。</t>
  </si>
  <si>
    <t xml:space="preserve">营地恢复</t>
  </si>
  <si>
    <t xml:space="preserve">暴食/节制适用；治疗向下取整。</t>
  </si>
  <si>
    <t xml:space="preserve">治疗修正下限</t>
  </si>
  <si>
    <t xml:space="preserve">除旅馆外全部治疗；相关修正相加后限制。</t>
  </si>
  <si>
    <t xml:space="preserve">治疗修正上限</t>
  </si>
  <si>
    <t xml:space="preserve">背包</t>
  </si>
  <si>
    <t xml:space="preserve">单种消耗品容量</t>
  </si>
  <si>
    <t xml:space="preserve">每种消耗品最多携带1份；提灯另计。</t>
  </si>
  <si>
    <t xml:space="preserve">道具</t>
  </si>
  <si>
    <t xml:space="preserve">圣水净化范围</t>
  </si>
  <si>
    <t xml:space="preserve">全部</t>
  </si>
  <si>
    <t xml:space="preserve">非原罪负面效果</t>
  </si>
  <si>
    <t xml:space="preserve">清除全部负面及全部层数；保留原罪和正面效果。</t>
  </si>
  <si>
    <t xml:space="preserve">罪恶</t>
  </si>
  <si>
    <t xml:space="preserve">初始罪恶</t>
  </si>
  <si>
    <t xml:space="preserve">满槽</t>
  </si>
  <si>
    <t xml:space="preserve">村外每单位增长</t>
  </si>
  <si>
    <t xml:space="preserve">每单位固定增长6点。</t>
  </si>
  <si>
    <t xml:space="preserve">事件</t>
  </si>
  <si>
    <t xml:space="preserve">村内活动事件上限</t>
  </si>
  <si>
    <t xml:space="preserve">件</t>
  </si>
  <si>
    <t xml:space="preserve">每单位生成尝试</t>
  </si>
  <si>
    <t xml:space="preserve">待定</t>
  </si>
  <si>
    <t xml:space="preserve">每单位生成尝试次数待定。</t>
  </si>
  <si>
    <t xml:space="preserve">每次生成成功率</t>
  </si>
  <si>
    <t xml:space="preserve">概率</t>
  </si>
  <si>
    <t xml:space="preserve">单次生成成功率待定。</t>
  </si>
  <si>
    <t xml:space="preserve">终局</t>
  </si>
  <si>
    <t xml:space="preserve">最终倒计时</t>
  </si>
  <si>
    <t xml:space="preserve">时间单位</t>
  </si>
  <si>
    <t xml:space="preserve">最终Boss倒计时待定。</t>
  </si>
  <si>
    <t xml:space="preserve">最终战</t>
  </si>
  <si>
    <t xml:space="preserve">切换阶段生命比例</t>
  </si>
  <si>
    <t xml:space="preserve">最终Boss阶段数量和切换条件待定。</t>
  </si>
  <si>
    <t xml:space="preserve">时间</t>
  </si>
  <si>
    <t xml:space="preserve">初始时间</t>
  </si>
  <si>
    <t xml:space="preserve">当前规则</t>
  </si>
  <si>
    <t xml:space="preserve">时间0为第1天早晨。</t>
  </si>
  <si>
    <t xml:space="preserve">每自然日</t>
  </si>
  <si>
    <t xml:space="preserve">早晨、下午、夜间各1单位。</t>
  </si>
  <si>
    <t xml:space="preserve">有效移动耗时</t>
  </si>
  <si>
    <t xml:space="preserve">空节点与回村也耗时；无效点击0。</t>
  </si>
  <si>
    <t xml:space="preserve">普通战斗胜利额外耗时</t>
  </si>
  <si>
    <t xml:space="preserve">战斗轮数不影响世界时间；隐藏事件战也支付。</t>
  </si>
  <si>
    <t xml:space="preserve">营地休整耗时</t>
  </si>
  <si>
    <t xml:space="preserve">到达另计移动；每处1次；满血可休整且消耗次数，提灯补满。</t>
  </si>
  <si>
    <t xml:space="preserve">购买与装配耗时</t>
  </si>
  <si>
    <t xml:space="preserve">装配地点仅村庄与营地。</t>
  </si>
  <si>
    <t xml:space="preserve">阅读暂停与等待耗时</t>
  </si>
  <si>
    <t xml:space="preserve">现实等待不推进时间。</t>
  </si>
  <si>
    <t xml:space="preserve">战外道具耗时</t>
  </si>
  <si>
    <t xml:space="preserve">仍扣物品数量。</t>
  </si>
  <si>
    <t xml:space="preserve">保存耗时</t>
  </si>
  <si>
    <t xml:space="preserve">无恢复效果，不强制休整。</t>
  </si>
  <si>
    <t xml:space="preserve">原地或旅馆耗时</t>
  </si>
  <si>
    <t xml:space="preserve">3 − (T mod 3)，即当前时段至当天结束1–3单位。</t>
  </si>
  <si>
    <t xml:space="preserve">旅馆恢复</t>
  </si>
  <si>
    <t xml:space="preserve">生命及提灯上限比例</t>
  </si>
  <si>
    <t xml:space="preserve">免费回满生命与提灯；不改决心；不受暴食/节制影响。</t>
  </si>
  <si>
    <t xml:space="preserve">地图</t>
  </si>
  <si>
    <t xml:space="preserve">营地总数</t>
  </si>
  <si>
    <t xml:space="preserve">处</t>
  </si>
  <si>
    <t xml:space="preserve">全图固定，每处休整一次；萤火分布未定。</t>
  </si>
  <si>
    <t xml:space="preserve">地图生成次数</t>
  </si>
  <si>
    <t xml:space="preserve">次/新局</t>
  </si>
  <si>
    <t xml:space="preserve">开局生成节点、道路和内容，局内不新增。</t>
  </si>
  <si>
    <t xml:space="preserve">存档</t>
  </si>
  <si>
    <t xml:space="preserve">本地最新档数量</t>
  </si>
  <si>
    <t xml:space="preserve">个</t>
  </si>
  <si>
    <t xml:space="preserve">村庄、萤火手存与跨日自动保存覆盖同一档；无云存档。</t>
  </si>
  <si>
    <t xml:space="preserve">同场小怪上限</t>
  </si>
  <si>
    <t xml:space="preserve">名</t>
  </si>
  <si>
    <t xml:space="preserve">具体区域或阶段遭遇分配待确认。</t>
  </si>
  <si>
    <t xml:space="preserve">敌人</t>
  </si>
  <si>
    <t xml:space="preserve">小怪掉落</t>
  </si>
  <si>
    <t xml:space="preserve">罪骸/只</t>
  </si>
  <si>
    <t xml:space="preserve">按击败个体结算。</t>
  </si>
  <si>
    <t xml:space="preserve">首领掉落</t>
  </si>
  <si>
    <t xml:space="preserve">原罪Boss固定掉落10；最终Boss掉落待定。</t>
  </si>
  <si>
    <t xml:space="preserve">最终入口时间条件</t>
  </si>
  <si>
    <t xml:space="preserve">最终Boss入口开放时间待定。</t>
  </si>
  <si>
    <t xml:space="preserve">最终入口击杀条件</t>
  </si>
  <si>
    <t xml:space="preserve">原罪击杀数</t>
  </si>
  <si>
    <t xml:space="preserve">最终Boss入口击杀条件待定。</t>
  </si>
  <si>
    <t xml:space="preserve">内容</t>
  </si>
  <si>
    <t xml:space="preserve">首批原罪最少</t>
  </si>
  <si>
    <t xml:space="preserve">当前范围</t>
  </si>
  <si>
    <t xml:space="preserve">包含懒惰。</t>
  </si>
  <si>
    <t xml:space="preserve">首批原罪最多</t>
  </si>
  <si>
    <t xml:space="preserve">先以3个通关，第4、5个按余量追加；名单与单局数量待定。</t>
  </si>
  <si>
    <t xml:space="preserve">小怪类型</t>
  </si>
  <si>
    <t xml:space="preserve">类</t>
  </si>
  <si>
    <t xml:space="preserve">撕咬、伏击、重击。</t>
  </si>
  <si>
    <t xml:space="preserve">武器数量</t>
  </si>
  <si>
    <t xml:space="preserve">把</t>
  </si>
  <si>
    <t xml:space="preserve">8把扩展武器技能待确认。</t>
  </si>
  <si>
    <t xml:space="preserve">道具数量</t>
  </si>
  <si>
    <t xml:space="preserve">种</t>
  </si>
  <si>
    <t xml:space="preserve">5种消耗品；提灯另计。</t>
  </si>
  <si>
    <t xml:space="preserve">普通关系倍率</t>
  </si>
  <si>
    <t xml:space="preserve">已配置</t>
  </si>
  <si>
    <t xml:space="preserve">主角无弱点、抗性、免疫；受击按普通关系。</t>
  </si>
  <si>
    <t xml:space="preserve">抗性关系倍率</t>
  </si>
  <si>
    <t xml:space="preserve">每种伤害份额向下取整。</t>
  </si>
  <si>
    <t xml:space="preserve">免疫关系倍率</t>
  </si>
  <si>
    <t xml:space="preserve">免疫伤害为0；阻止对应命中对目标的附加状态。</t>
  </si>
  <si>
    <t xml:space="preserve">结算</t>
  </si>
  <si>
    <t xml:space="preserve">统一取整</t>
  </si>
  <si>
    <t xml:space="preserve">向下取整</t>
  </si>
  <si>
    <t xml:space="preserve">方式</t>
  </si>
  <si>
    <t xml:space="preserve">全部需整数化的数值：伤害、治疗、成长、奖励均floor。</t>
  </si>
  <si>
    <t xml:space="preserve">主角</t>
  </si>
  <si>
    <t xml:space="preserve">主角破防启用</t>
  </si>
  <si>
    <t xml:space="preserve">开关</t>
  </si>
  <si>
    <t xml:space="preserve">0=关闭；无弱点、抗性、免疫，无法破防。</t>
  </si>
  <si>
    <t xml:space="preserve">营地</t>
  </si>
  <si>
    <t xml:space="preserve">每处休整次数</t>
  </si>
  <si>
    <t xml:space="preserve">满血仍可休整并消耗次数；提灯补满。</t>
  </si>
  <si>
    <t xml:space="preserve">提灯</t>
  </si>
  <si>
    <t xml:space="preserve">每次使用消耗</t>
  </si>
  <si>
    <t xml:space="preserve">另占1次战斗行动；初始及上限2次。</t>
  </si>
  <si>
    <t xml:space="preserve">揭露抗性与免疫</t>
  </si>
  <si>
    <t xml:space="preserve">0=不揭露；只揭露基础/阶段弱点。</t>
  </si>
  <si>
    <t xml:space="preserve">破防</t>
  </si>
  <si>
    <t xml:space="preserve">通用伤害加成</t>
  </si>
  <si>
    <t xml:space="preserve">只打断敌人；武器专属条件倍率另计。</t>
  </si>
  <si>
    <t xml:space="preserve">满血可休整</t>
  </si>
  <si>
    <t xml:space="preserve">1=允许；仍可恢复提灯。</t>
  </si>
  <si>
    <t xml:space="preserve">满血消耗休整次数</t>
  </si>
  <si>
    <t xml:space="preserve">1=消耗；即使治疗量为0也消耗。</t>
  </si>
  <si>
    <t xml:space="preserve">疲惫仅玩家</t>
  </si>
  <si>
    <t xml:space="preserve">1=仅玩家；敌人不受疲惫。</t>
  </si>
  <si>
    <t xml:space="preserve">混乱</t>
  </si>
  <si>
    <t xml:space="preserve">单体自用受影响</t>
  </si>
  <si>
    <t xml:space="preserve">0=不影响；其余可选目标单体道具及提灯受影响。</t>
  </si>
  <si>
    <t xml:space="preserve">武器普攻</t>
  </si>
  <si>
    <t xml:space="preserve">编号</t>
  </si>
  <si>
    <t xml:space="preserve">武器</t>
  </si>
  <si>
    <t xml:space="preserve">每段穿刺</t>
  </si>
  <si>
    <t xml:space="preserve">每段劈砍</t>
  </si>
  <si>
    <t xml:space="preserve">每段钝击</t>
  </si>
  <si>
    <t xml:space="preserve">每段火焰</t>
  </si>
  <si>
    <t xml:space="preserve">普攻段数</t>
  </si>
  <si>
    <t xml:space="preserve">价格（罪骸）</t>
  </si>
  <si>
    <t xml:space="preserve">初始库存</t>
  </si>
  <si>
    <t xml:space="preserve">KB-W01</t>
  </si>
  <si>
    <t xml:space="preserve">剑</t>
  </si>
  <si>
    <t xml:space="preserve">KB-W02</t>
  </si>
  <si>
    <t xml:space="preserve">大剑</t>
  </si>
  <si>
    <t xml:space="preserve">KB-W03</t>
  </si>
  <si>
    <t xml:space="preserve">长矛</t>
  </si>
  <si>
    <t xml:space="preserve">KB-W04</t>
  </si>
  <si>
    <t xml:space="preserve">双剑</t>
  </si>
  <si>
    <t xml:space="preserve">KB-W05</t>
  </si>
  <si>
    <t xml:space="preserve">斧</t>
  </si>
  <si>
    <t xml:space="preserve">KB-W06</t>
  </si>
  <si>
    <t xml:space="preserve">镰刀</t>
  </si>
  <si>
    <t xml:space="preserve">KB-W07</t>
  </si>
  <si>
    <t xml:space="preserve">锤</t>
  </si>
  <si>
    <t xml:space="preserve">KB-W08</t>
  </si>
  <si>
    <t xml:space="preserve">链枷</t>
  </si>
  <si>
    <t xml:space="preserve">KB-W09</t>
  </si>
  <si>
    <t xml:space="preserve">火把</t>
  </si>
  <si>
    <t xml:space="preserve">KB-W10</t>
  </si>
  <si>
    <t xml:space="preserve">斧枪</t>
  </si>
  <si>
    <t xml:space="preserve">KB-W11</t>
  </si>
  <si>
    <t xml:space="preserve">焰舌</t>
  </si>
  <si>
    <t xml:space="preserve">KB-W12</t>
  </si>
  <si>
    <t xml:space="preserve">天火</t>
  </si>
  <si>
    <t xml:space="preserve">武器技能</t>
  </si>
  <si>
    <t xml:space="preserve">编号</t>
  </si>
  <si>
    <t xml:space="preserve">武器</t>
  </si>
  <si>
    <t xml:space="preserve">技能</t>
  </si>
  <si>
    <t xml:space="preserve">技能目标</t>
  </si>
  <si>
    <t xml:space="preserve">技能伤害组合</t>
  </si>
  <si>
    <t xml:space="preserve">技能决心</t>
  </si>
  <si>
    <t xml:space="preserve">技能附加效果</t>
  </si>
  <si>
    <t xml:space="preserve">状态</t>
  </si>
  <si>
    <t xml:space="preserve">KB-W01</t>
  </si>
  <si>
    <t xml:space="preserve">剑</t>
  </si>
  <si>
    <t xml:space="preserve">穿刺</t>
  </si>
  <si>
    <t xml:space="preserve">单体</t>
  </si>
  <si>
    <t xml:space="preserve">穿刺30</t>
  </si>
  <si>
    <t xml:space="preserve">无视穿刺抗性，不穿透免疫。</t>
  </si>
  <si>
    <t xml:space="preserve">初测</t>
  </si>
  <si>
    <t xml:space="preserve">KB-W02</t>
  </si>
  <si>
    <t xml:space="preserve">大剑</t>
  </si>
  <si>
    <t xml:space="preserve">镇压</t>
  </si>
  <si>
    <t xml:space="preserve">穿刺36</t>
  </si>
  <si>
    <t xml:space="preserve">伤害后衰弱1层；穿刺免疫阻止衰弱。</t>
  </si>
  <si>
    <t xml:space="preserve">初测；候选技能待确认</t>
  </si>
  <si>
    <t xml:space="preserve">KB-W03</t>
  </si>
  <si>
    <t xml:space="preserve">长矛</t>
  </si>
  <si>
    <t xml:space="preserve">穿心</t>
  </si>
  <si>
    <t xml:space="preserve">穿刺22</t>
  </si>
  <si>
    <t xml:space="preserve">命中穿刺弱点额外累计1破防；保护期无效。</t>
  </si>
  <si>
    <t xml:space="preserve">KB-W04</t>
  </si>
  <si>
    <t xml:space="preserve">双剑</t>
  </si>
  <si>
    <t xml:space="preserve">连刺</t>
  </si>
  <si>
    <t xml:space="preserve">穿刺5×4段</t>
  </si>
  <si>
    <t xml:space="preserve">逐段判断死亡与破防。</t>
  </si>
  <si>
    <t xml:space="preserve">KB-W05</t>
  </si>
  <si>
    <t xml:space="preserve">斧</t>
  </si>
  <si>
    <t xml:space="preserve">顺劈</t>
  </si>
  <si>
    <t xml:space="preserve">全体</t>
  </si>
  <si>
    <t xml:space="preserve">每名敌人劈砍12</t>
  </si>
  <si>
    <t xml:space="preserve">对所有存活敌人分别结算。</t>
  </si>
  <si>
    <t xml:space="preserve">KB-W06</t>
  </si>
  <si>
    <t xml:space="preserve">镰刀</t>
  </si>
  <si>
    <t xml:space="preserve">收割</t>
  </si>
  <si>
    <t xml:space="preserve">劈砍9×2段</t>
  </si>
  <si>
    <t xml:space="preserve">攻击开始时目标已破防，本次伤害×1.30。</t>
  </si>
  <si>
    <t xml:space="preserve">KB-W07</t>
  </si>
  <si>
    <t xml:space="preserve">锤</t>
  </si>
  <si>
    <t xml:space="preserve">破甲</t>
  </si>
  <si>
    <t xml:space="preserve">钝击24</t>
  </si>
  <si>
    <t xml:space="preserve">伤害后破甲2层；钝击免疫阻止破甲。</t>
  </si>
  <si>
    <t xml:space="preserve">KB-W08</t>
  </si>
  <si>
    <t xml:space="preserve">链枷</t>
  </si>
  <si>
    <t xml:space="preserve">缠击</t>
  </si>
  <si>
    <t xml:space="preserve">钝击10×2段</t>
  </si>
  <si>
    <t xml:space="preserve">整次行动附加一次衰弱1层；钝击免疫阻止衰弱。</t>
  </si>
  <si>
    <t xml:space="preserve">KB-W09</t>
  </si>
  <si>
    <t xml:space="preserve">火把</t>
  </si>
  <si>
    <t xml:space="preserve">点燃</t>
  </si>
  <si>
    <t xml:space="preserve">火焰14</t>
  </si>
  <si>
    <t xml:space="preserve">伤害后点燃2层；火焰免疫阻止点燃。</t>
  </si>
  <si>
    <t xml:space="preserve">KB-W10</t>
  </si>
  <si>
    <t xml:space="preserve">斧枪</t>
  </si>
  <si>
    <t xml:space="preserve">横扫突刺</t>
  </si>
  <si>
    <t xml:space="preserve">主目标＋全体</t>
  </si>
  <si>
    <t xml:space="preserve">先主目标穿刺8，再全体各劈砍6</t>
  </si>
  <si>
    <t xml:space="preserve">逐段判定；主目标最多承受两个段。</t>
  </si>
  <si>
    <t xml:space="preserve">KB-W11</t>
  </si>
  <si>
    <t xml:space="preserve">焰舌</t>
  </si>
  <si>
    <t xml:space="preserve">焚心</t>
  </si>
  <si>
    <t xml:space="preserve">穿刺12＋火焰8，1个混合段</t>
  </si>
  <si>
    <t xml:space="preserve">主角坚定1层；目标免疫不阻止自身增益。</t>
  </si>
  <si>
    <t xml:space="preserve">KB-W12</t>
  </si>
  <si>
    <t xml:space="preserve">天火</t>
  </si>
  <si>
    <t xml:space="preserve">烙刑</t>
  </si>
  <si>
    <t xml:space="preserve">钝击10＋火焰8，1个混合段</t>
  </si>
  <si>
    <t xml:space="preserve">破甲1层、点燃1层；钝击免疫阻止破甲，火焰免疫阻止点燃。</t>
  </si>
  <si>
    <t xml:space="preserve">道具</t>
  </si>
  <si>
    <t xml:space="preserve">编号</t>
  </si>
  <si>
    <t xml:space="preserve">可用范围</t>
  </si>
  <si>
    <t xml:space="preserve">效果</t>
  </si>
  <si>
    <t xml:space="preserve">恢复生命</t>
  </si>
  <si>
    <t xml:space="preserve">施加状态</t>
  </si>
  <si>
    <t xml:space="preserve">层数</t>
  </si>
  <si>
    <t xml:space="preserve">价格（罪骸）</t>
  </si>
  <si>
    <t xml:space="preserve">每日库存</t>
  </si>
  <si>
    <t xml:space="preserve">状态</t>
  </si>
  <si>
    <t xml:space="preserve">携带上限</t>
  </si>
  <si>
    <t xml:space="preserve">KB-I01</t>
  </si>
  <si>
    <t xml:space="preserve">绷带</t>
  </si>
  <si>
    <t xml:space="preserve">战内外</t>
  </si>
  <si>
    <t xml:space="preserve">恢复生命；适用治疗修正并向下取整</t>
  </si>
  <si>
    <t xml:space="preserve">初测</t>
  </si>
  <si>
    <t xml:space="preserve">KB-I03</t>
  </si>
  <si>
    <t xml:space="preserve">圣水</t>
  </si>
  <si>
    <t xml:space="preserve">清除自身全部非原罪负面效果及全部层数</t>
  </si>
  <si>
    <t xml:space="preserve">已确认</t>
  </si>
  <si>
    <t xml:space="preserve">KB-I04</t>
  </si>
  <si>
    <t xml:space="preserve">再生药剂</t>
  </si>
  <si>
    <t xml:space="preserve">仅战斗</t>
  </si>
  <si>
    <t xml:space="preserve">获得普通增益</t>
  </si>
  <si>
    <t xml:space="preserve">再生</t>
  </si>
  <si>
    <t xml:space="preserve">KB-I05</t>
  </si>
  <si>
    <t xml:space="preserve">坚定药剂</t>
  </si>
  <si>
    <t xml:space="preserve">坚定</t>
  </si>
  <si>
    <t xml:space="preserve">KB-I06</t>
  </si>
  <si>
    <t xml:space="preserve">加速药剂</t>
  </si>
  <si>
    <t xml:space="preserve">加速</t>
  </si>
  <si>
    <t xml:space="preserve">KB-L01</t>
  </si>
  <si>
    <t xml:space="preserve">提灯</t>
  </si>
  <si>
    <t xml:space="preserve">选1名存活敌人；只揭露基础/阶段弱点，不揭露抗性、免疫</t>
  </si>
  <si>
    <t xml:space="preserve">普通状态</t>
  </si>
  <si>
    <t xml:space="preserve">状态</t>
  </si>
  <si>
    <t xml:space="preserve">类别</t>
  </si>
  <si>
    <t xml:space="preserve">层数用途</t>
  </si>
  <si>
    <t xml:space="preserve">层数上限</t>
  </si>
  <si>
    <t xml:space="preserve">效果比例</t>
  </si>
  <si>
    <t xml:space="preserve">每层/触发数值</t>
  </si>
  <si>
    <t xml:space="preserve">效果</t>
  </si>
  <si>
    <t xml:space="preserve">减层时机</t>
  </si>
  <si>
    <t xml:space="preserve">可净化</t>
  </si>
  <si>
    <t xml:space="preserve">待确认/说明</t>
  </si>
  <si>
    <t xml:space="preserve">再生</t>
  </si>
  <si>
    <t xml:space="preserve">增益</t>
  </si>
  <si>
    <t xml:space="preserve">强度</t>
  </si>
  <si>
    <t xml:space="preserve">治疗=floor(当前层数×每层数值×治疗系数)。</t>
  </si>
  <si>
    <t xml:space="preserve">自身回合末回复后减1</t>
  </si>
  <si>
    <t xml:space="preserve">不适用</t>
  </si>
  <si>
    <t xml:space="preserve">暴食/节制适用；每层1生命，上限3层。</t>
  </si>
  <si>
    <t xml:space="preserve">加速</t>
  </si>
  <si>
    <t xml:space="preserve">持续时间</t>
  </si>
  <si>
    <t xml:space="preserve">普攻额外1段；技能不加段，多层仍只加1段</t>
  </si>
  <si>
    <t xml:space="preserve">完整轮末减1；施加/追加当轮不减</t>
  </si>
  <si>
    <t xml:space="preserve">层数上限与百分比为初测。</t>
  </si>
  <si>
    <t xml:space="preserve">坚定</t>
  </si>
  <si>
    <t xml:space="preserve">触发次数</t>
  </si>
  <si>
    <t xml:space="preserve">实际获得决心时额外1点</t>
  </si>
  <si>
    <t xml:space="preserve">额外1点成功入池后减1</t>
  </si>
  <si>
    <t xml:space="preserve">中毒</t>
  </si>
  <si>
    <t xml:space="preserve">负面</t>
  </si>
  <si>
    <t xml:space="preserve">回合末损失当前层数的生命</t>
  </si>
  <si>
    <t xml:space="preserve">自身回合末扣血后减1</t>
  </si>
  <si>
    <t xml:space="preserve">可</t>
  </si>
  <si>
    <t xml:space="preserve">衰弱</t>
  </si>
  <si>
    <t xml:space="preserve">直接造成伤害降低20%；多层不加百分比</t>
  </si>
  <si>
    <t xml:space="preserve">破甲</t>
  </si>
  <si>
    <t xml:space="preserve">直接受到伤害增加20%，含火焰直接伤害</t>
  </si>
  <si>
    <t xml:space="preserve">疲惫</t>
  </si>
  <si>
    <t xml:space="preserve">仅玩家：禁用武器技能及全部决心收益；保留已有决心。</t>
  </si>
  <si>
    <t xml:space="preserve">仅玩家；层数上限3为初测。</t>
  </si>
  <si>
    <t xml:space="preserve">混乱</t>
  </si>
  <si>
    <t xml:space="preserve">单体伤害、可选目标单体道具及提灯随机合法目标；单体自用除外；多段不换目标。</t>
  </si>
  <si>
    <t xml:space="preserve">上限2层；作用范围已确认。</t>
  </si>
  <si>
    <t xml:space="preserve">点燃</t>
  </si>
  <si>
    <t xml:space="preserve">自身回合末按最大生命5%造成伤害；判火焰弱点/抗性/免疫，最多累计1破防。</t>
  </si>
  <si>
    <t xml:space="preserve">先floor(最大生命×5%)，再floor(结果×火焰关系倍率)；免疫为0；不受衰弱、破甲、防御影响。</t>
  </si>
  <si>
    <t xml:space="preserve">小怪</t>
  </si>
  <si>
    <t xml:space="preserve">编号</t>
  </si>
  <si>
    <t xml:space="preserve">类型/阶段</t>
  </si>
  <si>
    <t xml:space="preserve">生命</t>
  </si>
  <si>
    <t xml:space="preserve">破防阈值</t>
  </si>
  <si>
    <t xml:space="preserve">行动优先值</t>
  </si>
  <si>
    <t xml:space="preserve">弱点</t>
  </si>
  <si>
    <t xml:space="preserve">行动循环</t>
  </si>
  <si>
    <t xml:space="preserve">掉落罪骸</t>
  </si>
  <si>
    <t xml:space="preserve">抽取权重</t>
  </si>
  <si>
    <t xml:space="preserve">KB-M01</t>
  </si>
  <si>
    <t xml:space="preserve">撕咬型</t>
  </si>
  <si>
    <t xml:space="preserve">穿刺、钝击</t>
  </si>
  <si>
    <t xml:space="preserve">撕咬6 → 猛咬8</t>
  </si>
  <si>
    <t xml:space="preserve">KB-M02</t>
  </si>
  <si>
    <t xml:space="preserve">伏击型</t>
  </si>
  <si>
    <t xml:space="preserve">劈砍、火焰</t>
  </si>
  <si>
    <t xml:space="preserve">突袭5 → 带毒攻击5＋中毒1层 → 喘息</t>
  </si>
  <si>
    <t xml:space="preserve">KB-M03</t>
  </si>
  <si>
    <t xml:space="preserve">重击型</t>
  </si>
  <si>
    <t xml:space="preserve">钝击、穿刺</t>
  </si>
  <si>
    <t xml:space="preserve">攻击9 → 准备1次 → 重击18 → 喘息</t>
  </si>
  <si>
    <t xml:space="preserve">Boss</t>
  </si>
  <si>
    <t xml:space="preserve">阶段</t>
  </si>
  <si>
    <t xml:space="preserve">初始生命</t>
  </si>
  <si>
    <t xml:space="preserve">破防阈值</t>
  </si>
  <si>
    <t xml:space="preserve">行动优先值</t>
  </si>
  <si>
    <t xml:space="preserve">弱点</t>
  </si>
  <si>
    <t xml:space="preserve">行动循环</t>
  </si>
  <si>
    <t xml:space="preserve">掉落罪骸</t>
  </si>
  <si>
    <t xml:space="preserve">阶段切换生命比例</t>
  </si>
  <si>
    <t xml:space="preserve">状态</t>
  </si>
  <si>
    <t xml:space="preserve">说明</t>
  </si>
  <si>
    <t xml:space="preserve">懒惰</t>
  </si>
  <si>
    <t xml:space="preserve">待配置</t>
  </si>
  <si>
    <t xml:space="preserve">固定首位、最低难度、教学用途；激活时点、战斗和整局效果未交付。</t>
  </si>
  <si>
    <t xml:space="preserve">其余首批原罪</t>
  </si>
  <si>
    <t xml:space="preserve">首批总数3–5含懒惰；其余难度同档，名单与单局调用数量未定。</t>
  </si>
  <si>
    <t xml:space="preserve">最终Boss</t>
  </si>
  <si>
    <t xml:space="preserve">待定</t>
  </si>
  <si>
    <t xml:space="preserve">名称、生命、破防阈值、先攻、弱点、行动、阶段、切换条件及掉落均待定。</t>
  </si>
  <si>
    <t xml:space="preserve">整局效果｜本次更新项</t>
  </si>
  <si>
    <t xml:space="preserve">效果</t>
  </si>
  <si>
    <t xml:space="preserve">类别</t>
  </si>
  <si>
    <t xml:space="preserve">对应项</t>
  </si>
  <si>
    <t xml:space="preserve">修正数值</t>
  </si>
  <si>
    <t xml:space="preserve">修正对象</t>
  </si>
  <si>
    <t xml:space="preserve">触发</t>
  </si>
  <si>
    <t xml:space="preserve">作用期间</t>
  </si>
  <si>
    <t xml:space="preserve">最终系数</t>
  </si>
  <si>
    <t xml:space="preserve">单位</t>
  </si>
  <si>
    <t xml:space="preserve">傲慢</t>
  </si>
  <si>
    <t xml:space="preserve">诅咒</t>
  </si>
  <si>
    <t xml:space="preserve">谦逊</t>
  </si>
  <si>
    <t xml:space="preserve">弱点倍率</t>
  </si>
  <si>
    <t xml:space="preserve">命中弱点</t>
  </si>
  <si>
    <t xml:space="preserve">持续整局</t>
  </si>
  <si>
    <t xml:space="preserve">百分点</t>
  </si>
  <si>
    <t xml:space="preserve">已确认</t>
  </si>
  <si>
    <t xml:space="preserve">基础弱点110%减10个百分点。</t>
  </si>
  <si>
    <t xml:space="preserve">美德</t>
  </si>
  <si>
    <t xml:space="preserve">基础弱点110%加10个百分点。</t>
  </si>
  <si>
    <t xml:space="preserve">暴食</t>
  </si>
  <si>
    <t xml:space="preserve">节制</t>
  </si>
  <si>
    <t xml:space="preserve">治疗量</t>
  </si>
  <si>
    <t xml:space="preserve">除旅馆外全部治疗</t>
  </si>
  <si>
    <t xml:space="preserve">比例</t>
  </si>
  <si>
    <t xml:space="preserve">含营地、道具、事件、原地休整、再生、慷慨；向下取整。</t>
  </si>
  <si>
    <t xml:space="preserve">嫉妒</t>
  </si>
  <si>
    <t xml:space="preserve">宽容</t>
  </si>
  <si>
    <t xml:space="preserve">直接伤害</t>
  </si>
  <si>
    <t xml:space="preserve">敌人实际恢复生命</t>
  </si>
  <si>
    <t xml:space="preserve">下一次完整攻击</t>
  </si>
  <si>
    <t xml:space="preserve">效果暂定</t>
  </si>
  <si>
    <t xml:space="preserve">同效果刷新；无实际治疗不触发。</t>
  </si>
  <si>
    <t xml:space="preserve">愤怒</t>
  </si>
  <si>
    <t xml:space="preserve">忍耐</t>
  </si>
  <si>
    <t xml:space="preserve">防御减伤</t>
  </si>
  <si>
    <t xml:space="preserve">直接受击实际失去生命</t>
  </si>
  <si>
    <t xml:space="preserve">下一次防御</t>
  </si>
  <si>
    <t xml:space="preserve">相对比例</t>
  </si>
  <si>
    <t xml:space="preserve">相对乘算；减伤上限70%。</t>
  </si>
  <si>
    <t xml:space="preserve">小怪阶段性增强幅度</t>
  </si>
  <si>
    <t xml:space="preserve">类型/阶段</t>
  </si>
  <si>
    <t xml:space="preserve">生命倍率</t>
  </si>
  <si>
    <t xml:space="preserve">直接伤害倍率</t>
  </si>
  <si>
    <t xml:space="preserve">数量概率</t>
  </si>
  <si>
    <t xml:space="preserve">旧阶段条件</t>
  </si>
  <si>
    <t xml:space="preserve">状态</t>
  </si>
  <si>
    <t xml:space="preserve">说明</t>
  </si>
  <si>
    <t xml:space="preserve">早期</t>
  </si>
  <si>
    <t xml:space="preserve">1只100%</t>
  </si>
  <si>
    <t xml:space="preserve">已出现原罪0–2个</t>
  </si>
  <si>
    <t xml:space="preserve">待调整参考</t>
  </si>
  <si>
    <t xml:space="preserve">旧GDD按7罪分期；当前首批3–5罪，不能直接作为已确认遭遇分配。</t>
  </si>
  <si>
    <t xml:space="preserve">中期</t>
  </si>
  <si>
    <t xml:space="preserve">1只40%；2只60%</t>
  </si>
  <si>
    <t xml:space="preserve">已出现原罪3–5个</t>
  </si>
  <si>
    <t xml:space="preserve">后期</t>
  </si>
  <si>
    <t xml:space="preserve">2只70%；3只30%</t>
  </si>
  <si>
    <t xml:space="preserve">已出现原罪6–7个</t>
  </si>
  <si>
    <t xml:space="preserve">事件入口</t>
  </si>
  <si>
    <t xml:space="preserve">事件编号</t>
  </si>
  <si>
    <t xml:space="preserve">事件</t>
  </si>
  <si>
    <t xml:space="preserve">村内/野外</t>
  </si>
  <si>
    <t xml:space="preserve">最早日期</t>
  </si>
  <si>
    <t xml:space="preserve">持续天数</t>
  </si>
  <si>
    <t xml:space="preserve">权重</t>
  </si>
  <si>
    <t xml:space="preserve">具体地点</t>
  </si>
  <si>
    <t xml:space="preserve">v01</t>
  </si>
  <si>
    <t xml:space="preserve">v02</t>
  </si>
  <si>
    <t xml:space="preserve">v03</t>
  </si>
  <si>
    <t xml:space="preserve">v04</t>
  </si>
  <si>
    <t xml:space="preserve">v05</t>
  </si>
  <si>
    <t xml:space="preserve">v06</t>
  </si>
  <si>
    <t xml:space="preserve">v07</t>
  </si>
  <si>
    <t xml:space="preserve">v08</t>
  </si>
  <si>
    <t xml:space="preserve">v09</t>
  </si>
  <si>
    <t xml:space="preserve">v10</t>
  </si>
  <si>
    <t xml:space="preserve">v11</t>
  </si>
  <si>
    <t xml:space="preserve">v12</t>
  </si>
  <si>
    <t xml:space="preserve">KB-EV13</t>
  </si>
  <si>
    <t xml:space="preserve">KB-EW01</t>
  </si>
  <si>
    <t xml:space="preserve">KB-EW02</t>
  </si>
  <si>
    <t xml:space="preserve">KB-EW03</t>
  </si>
  <si>
    <t xml:space="preserve">KB-EW04</t>
  </si>
  <si>
    <t xml:space="preserve">KB-EW05</t>
  </si>
  <si>
    <t xml:space="preserve">KB-EW06</t>
  </si>
  <si>
    <t xml:space="preserve">KB-EW07</t>
  </si>
  <si>
    <t xml:space="preserve">KB-EW08</t>
  </si>
  <si>
    <t xml:space="preserve">KB-EW09</t>
  </si>
  <si>
    <t xml:space="preserve">KB-EW10</t>
  </si>
  <si>
    <t xml:space="preserve">事件选项</t>
  </si>
  <si>
    <t xml:space="preserve">事件编号</t>
  </si>
  <si>
    <t xml:space="preserve">事件</t>
  </si>
  <si>
    <t xml:space="preserve">选项编号</t>
  </si>
  <si>
    <t xml:space="preserve">选项</t>
  </si>
  <si>
    <t xml:space="preserve">选项耗时</t>
  </si>
  <si>
    <t xml:space="preserve">原文及校对说明</t>
  </si>
  <si>
    <t xml:space="preserve">v01</t>
  </si>
  <si>
    <t xml:space="preserve">v02</t>
  </si>
  <si>
    <t xml:space="preserve">v03</t>
  </si>
  <si>
    <t xml:space="preserve">v04</t>
  </si>
  <si>
    <t xml:space="preserve">v05</t>
  </si>
  <si>
    <t xml:space="preserve">v06</t>
  </si>
  <si>
    <t xml:space="preserve">v07</t>
  </si>
  <si>
    <t xml:space="preserve">v08</t>
  </si>
  <si>
    <t xml:space="preserve">v09</t>
  </si>
  <si>
    <t xml:space="preserve">v10</t>
  </si>
  <si>
    <t xml:space="preserve">v11</t>
  </si>
  <si>
    <t xml:space="preserve">v12</t>
  </si>
  <si>
    <t xml:space="preserve">KB-EV13</t>
  </si>
  <si>
    <t xml:space="preserve">KB-EW01</t>
  </si>
  <si>
    <t xml:space="preserve">KB-EW02</t>
  </si>
  <si>
    <t xml:space="preserve">KB-EW03</t>
  </si>
  <si>
    <t xml:space="preserve">KB-EW04</t>
  </si>
  <si>
    <t xml:space="preserve">KB-EW05</t>
  </si>
  <si>
    <t xml:space="preserve">KB-EW06</t>
  </si>
  <si>
    <t xml:space="preserve">KB-EW07</t>
  </si>
  <si>
    <t xml:space="preserve">KB-EW08</t>
  </si>
  <si>
    <t xml:space="preserve">KB-EW09</t>
  </si>
  <si>
    <t xml:space="preserve">KB-EW10</t>
  </si>
  <si>
    <t xml:space="preserve">事件结果</t>
  </si>
  <si>
    <t xml:space="preserve">选项编号</t>
  </si>
  <si>
    <t xml:space="preserve">结果分支</t>
  </si>
  <si>
    <t xml:space="preserve">分支概率</t>
  </si>
  <si>
    <t xml:space="preserve">罪恶变化</t>
  </si>
  <si>
    <t xml:space="preserve">恢复生命</t>
  </si>
  <si>
    <t xml:space="preserve">奖励道具</t>
  </si>
  <si>
    <t xml:space="preserve">数量</t>
  </si>
  <si>
    <t xml:space="preserve">强化范围</t>
  </si>
  <si>
    <t xml:space="preserve">强化比例</t>
  </si>
  <si>
    <t xml:space="preserve">隐藏遭遇</t>
  </si>
  <si>
    <t xml:space="preserve">配置状态</t>
  </si>
  <si>
    <t xml:space="preserve">说明</t>
  </si>
  <si>
    <t xml:space="preserve">v01-O1</t>
  </si>
  <si>
    <t xml:space="preserve">初测</t>
  </si>
  <si>
    <t xml:space="preserve">开局固定出现。</t>
  </si>
  <si>
    <t xml:space="preserve">v01-O2</t>
  </si>
  <si>
    <t xml:space="preserve">绷带</t>
  </si>
  <si>
    <t xml:space="preserve">开局固定出现。 选项名称待校对，原文见“事件选项”页。</t>
  </si>
  <si>
    <t xml:space="preserve">v02-O1</t>
  </si>
  <si>
    <t xml:space="preserve">v02-O2</t>
  </si>
  <si>
    <t xml:space="preserve">首次直接受击</t>
  </si>
  <si>
    <t xml:space="preserve">v03-O1</t>
  </si>
  <si>
    <t xml:space="preserve">圣水</t>
  </si>
  <si>
    <t xml:space="preserve">v03-O2</t>
  </si>
  <si>
    <t xml:space="preserve">v04-O1</t>
  </si>
  <si>
    <t xml:space="preserve">v04-O2</t>
  </si>
  <si>
    <t xml:space="preserve"> 选项名称待校对，原文见“事件选项”页。</t>
  </si>
  <si>
    <t xml:space="preserve">v05-O1</t>
  </si>
  <si>
    <t xml:space="preserve">v05-O2</t>
  </si>
  <si>
    <t xml:space="preserve">下一次完整攻击</t>
  </si>
  <si>
    <t xml:space="preserve">v06-O1</t>
  </si>
  <si>
    <t xml:space="preserve">坚定药剂</t>
  </si>
  <si>
    <t xml:space="preserve">v06-O2</t>
  </si>
  <si>
    <t xml:space="preserve">v07-O1</t>
  </si>
  <si>
    <t xml:space="preserve">v07-O2</t>
  </si>
  <si>
    <t xml:space="preserve">v08-O1</t>
  </si>
  <si>
    <t xml:space="preserve">替代奖励待定</t>
  </si>
  <si>
    <t xml:space="preserve">浓缩药剂奖励已删除；替代奖励待定。</t>
  </si>
  <si>
    <t xml:space="preserve">v08-O2</t>
  </si>
  <si>
    <t xml:space="preserve">v09-O1</t>
  </si>
  <si>
    <t xml:space="preserve">v09-O2</t>
  </si>
  <si>
    <t xml:space="preserve">v10-O1</t>
  </si>
  <si>
    <t xml:space="preserve">下次营地恢复</t>
  </si>
  <si>
    <t xml:space="preserve">v10-O2</t>
  </si>
  <si>
    <t xml:space="preserve">v11-O1</t>
  </si>
  <si>
    <t xml:space="preserve">v11-O2</t>
  </si>
  <si>
    <t xml:space="preserve">v12-O1</t>
  </si>
  <si>
    <t xml:space="preserve">v12-O2</t>
  </si>
  <si>
    <t xml:space="preserve">KB-EV13-O1</t>
  </si>
  <si>
    <t xml:space="preserve">建议参数；待确认</t>
  </si>
  <si>
    <t xml:space="preserve">KB-EV13为知识库编号。前置：贪婪首领仍存活；击败后未处理事件失效。参数在GDD中标为建议，非已定。</t>
  </si>
  <si>
    <t xml:space="preserve">KB-EV13-O2</t>
  </si>
  <si>
    <t xml:space="preserve">KB-EV13-O3</t>
  </si>
  <si>
    <t xml:space="preserve">KB-EW01-O1</t>
  </si>
  <si>
    <t xml:space="preserve">KB-EW为知识库编号；进入节点的移动1单位另计。</t>
  </si>
  <si>
    <t xml:space="preserve">单只小怪</t>
  </si>
  <si>
    <t xml:space="preserve">KB-EW01-O2</t>
  </si>
  <si>
    <t xml:space="preserve">KB-EW02-O1</t>
  </si>
  <si>
    <t xml:space="preserve">KB-EW02-O2</t>
  </si>
  <si>
    <t xml:space="preserve">KB-EW03-O1</t>
  </si>
  <si>
    <t xml:space="preserve">KB-EW03-O2</t>
  </si>
  <si>
    <t xml:space="preserve">KB-EW04-O1</t>
  </si>
  <si>
    <t xml:space="preserve">KB-EW04-O2</t>
  </si>
  <si>
    <t xml:space="preserve">KB-EW05-O1</t>
  </si>
  <si>
    <t xml:space="preserve">KB-EW05-O2</t>
  </si>
  <si>
    <t xml:space="preserve">KB-EW为知识库编号；进入节点的移动1单位另计。 选项名称待校对，原文见“事件选项”页。</t>
  </si>
  <si>
    <t xml:space="preserve">KB-EW06-O1</t>
  </si>
  <si>
    <t xml:space="preserve">KB-EW06-O2</t>
  </si>
  <si>
    <t xml:space="preserve">KB-EW07-O1</t>
  </si>
  <si>
    <t xml:space="preserve">KB-EW07-O2</t>
  </si>
  <si>
    <t xml:space="preserve">KB-EW08-O1</t>
  </si>
  <si>
    <t xml:space="preserve">已取消效果；需替代结果</t>
  </si>
  <si>
    <t xml:space="preserve">KB-EW为知识库编号；进入节点的移动1单位另计。 当前范围不允许局内新增道路；该选项不能按旧效果接入，耗时/替代结果需重定。</t>
  </si>
  <si>
    <t xml:space="preserve">KB-EW08-O2</t>
  </si>
  <si>
    <t xml:space="preserve">KB-EW09-O1</t>
  </si>
  <si>
    <t xml:space="preserve">KB-EW09-O2</t>
  </si>
  <si>
    <t xml:space="preserve">KB-EW10-O1</t>
  </si>
  <si>
    <t xml:space="preserve">KB-EW10-O2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</si>
</sst>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7">
    <numFmt numFmtId="164" formatCode="General"/>
    <numFmt numFmtId="165" formatCode="0"/>
    <numFmt numFmtId="166" formatCode="0.00"/>
    <numFmt numFmtId="167" formatCode="General"/>
    <numFmt numFmtId="168" formatCode="0"/>
    <numFmt numFmtId="169" formatCode="General"/>
    <numFmt numFmtId="170" formatCode="0"/>
    <numFmt numFmtId="171" formatCode="General"/>
    <numFmt numFmtId="172" formatCode="0"/>
    <numFmt numFmtId="173" formatCode="General"/>
    <numFmt numFmtId="174" formatCode="0"/>
    <numFmt numFmtId="175" formatCode="0%"/>
    <numFmt numFmtId="176" formatCode="General"/>
    <numFmt numFmtId="177" formatCode="0"/>
    <numFmt numFmtId="178" formatCode="General"/>
    <numFmt numFmtId="179" formatCode="0"/>
    <numFmt numFmtId="180" formatCode="0%"/>
    <numFmt numFmtId="181" formatCode="General"/>
    <numFmt numFmtId="182" formatCode="0"/>
    <numFmt numFmtId="183" formatCode="0.00"/>
    <numFmt numFmtId="184" formatCode="General"/>
    <numFmt numFmtId="185" formatCode="0"/>
    <numFmt numFmtId="186" formatCode="General"/>
    <numFmt numFmtId="187" formatCode="0"/>
    <numFmt numFmtId="188" formatCode="General"/>
    <numFmt numFmtId="189" formatCode="0%"/>
    <numFmt numFmtId="190" formatCode="0"/>
  </numFmts>
  <fonts count="5">
    <font>
      <sz val="11"/>
      <color theme="1"/>
      <name val="Calibri"/>
      <family val="2"/>
      <scheme val="minor"/>
    </font>
    <font>
      <b val="true"/>
      <sz val="15"/>
      <color rgb="FF000000"/>
      <name val="Arial Unicode MS"/>
      <family val="2"/>
    </font>
    <font>
      <sz val="11"/>
      <color rgb="FF000000"/>
      <name val="Calibri"/>
      <family val="2"/>
    </font>
    <font>
      <sz val="10"/>
      <color rgb="FF000000"/>
      <name val="Arial Unicode MS"/>
      <family val="2"/>
    </font>
    <font>
      <b val="true"/>
      <sz val="10"/>
      <color rgb="FFFFFFFF"/>
      <name val="Arial Unicode MS"/>
      <family val="2"/>
    </font>
  </fonts>
  <fills count="3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FF"/>
        <bgColor/>
      </patternFill>
    </fill>
    <fill>
      <patternFill patternType="solid">
        <fgColor rgb="FF404040"/>
        <bgColor/>
      </patternFill>
    </fill>
    <fill>
      <patternFill patternType="solid">
        <fgColor rgb="FFF5F5F5"/>
        <bgColor/>
      </patternFill>
    </fill>
    <fill>
      <patternFill patternType="solid">
        <fgColor rgb="FFFFFFFF"/>
        <bgColor/>
      </patternFill>
    </fill>
    <fill>
      <patternFill patternType="solid">
        <fgColor rgb="FF404040"/>
        <bgColor/>
      </patternFill>
    </fill>
    <fill>
      <patternFill patternType="solid">
        <fgColor rgb="FFF5F5F5"/>
        <bgColor/>
      </patternFill>
    </fill>
    <fill>
      <patternFill patternType="solid">
        <fgColor rgb="FFFFFFFF"/>
        <bgColor/>
      </patternFill>
    </fill>
    <fill>
      <patternFill patternType="solid">
        <fgColor rgb="FF404040"/>
        <bgColor/>
      </patternFill>
    </fill>
    <fill>
      <patternFill patternType="solid">
        <fgColor rgb="FFF5F5F5"/>
        <bgColor/>
      </patternFill>
    </fill>
    <fill>
      <patternFill patternType="solid">
        <fgColor rgb="FFFFFFFF"/>
        <bgColor/>
      </patternFill>
    </fill>
    <fill>
      <patternFill patternType="solid">
        <fgColor rgb="FF404040"/>
        <bgColor/>
      </patternFill>
    </fill>
    <fill>
      <patternFill patternType="solid">
        <fgColor rgb="FFF5F5F5"/>
        <bgColor/>
      </patternFill>
    </fill>
    <fill>
      <patternFill patternType="solid">
        <fgColor rgb="FFFFFFFF"/>
        <bgColor/>
      </patternFill>
    </fill>
    <fill>
      <patternFill patternType="solid">
        <fgColor rgb="FF404040"/>
        <bgColor/>
      </patternFill>
    </fill>
    <fill>
      <patternFill patternType="solid">
        <fgColor rgb="FFF5F5F5"/>
        <bgColor/>
      </patternFill>
    </fill>
    <fill>
      <patternFill patternType="solid">
        <fgColor rgb="FFFFFFFF"/>
        <bgColor/>
      </patternFill>
    </fill>
    <fill>
      <patternFill patternType="solid">
        <fgColor rgb="FFFFF258"/>
        <bgColor/>
      </patternFill>
    </fill>
    <fill>
      <patternFill patternType="solid">
        <fgColor rgb="FF404040"/>
        <bgColor/>
      </patternFill>
    </fill>
    <fill>
      <patternFill patternType="solid">
        <fgColor rgb="FFF5F5F5"/>
        <bgColor/>
      </patternFill>
    </fill>
    <fill>
      <patternFill patternType="solid">
        <fgColor rgb="FFFFFFFF"/>
        <bgColor/>
      </patternFill>
    </fill>
    <fill>
      <patternFill patternType="solid">
        <fgColor rgb="FF404040"/>
        <bgColor/>
      </patternFill>
    </fill>
    <fill>
      <patternFill patternType="solid">
        <fgColor rgb="FFF5F5F5"/>
        <bgColor/>
      </patternFill>
    </fill>
    <fill>
      <patternFill patternType="solid">
        <fgColor rgb="FFFFFFFF"/>
        <bgColor/>
      </patternFill>
    </fill>
    <fill>
      <patternFill patternType="solid">
        <fgColor rgb="FF404040"/>
        <bgColor/>
      </patternFill>
    </fill>
    <fill>
      <patternFill patternType="solid">
        <fgColor rgb="FFF5F5F5"/>
        <bgColor/>
      </patternFill>
    </fill>
    <fill>
      <patternFill patternType="solid">
        <fgColor rgb="FFFFFFFF"/>
        <bgColor/>
      </patternFill>
    </fill>
    <fill>
      <patternFill patternType="solid">
        <fgColor rgb="FF404040"/>
        <bgColor/>
      </patternFill>
    </fill>
    <fill>
      <patternFill patternType="solid">
        <fgColor rgb="FFF5F5F5"/>
        <bgColor/>
      </patternFill>
    </fill>
    <fill>
      <patternFill patternType="solid">
        <fgColor rgb="FFFFFFFF"/>
        <bgColor/>
      </patternFill>
    </fill>
    <fill>
      <patternFill patternType="solid">
        <fgColor rgb="FF404040"/>
        <bgColor/>
      </patternFill>
    </fill>
    <fill>
      <patternFill patternType="solid">
        <fgColor rgb="FFF5F5F5"/>
        <bgColor/>
      </patternFill>
    </fill>
    <fill>
      <patternFill patternType="solid">
        <fgColor rgb="FFFFFFFF"/>
        <bgColor/>
      </patternFill>
    </fill>
    <fill>
      <patternFill patternType="solid">
        <fgColor rgb="FF404040"/>
        <bgColor/>
      </patternFill>
    </fill>
    <fill>
      <patternFill patternType="solid">
        <fgColor rgb="FFF5F5F5"/>
        <bgColor/>
      </patternFill>
    </fill>
  </fills>
  <borders count="3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2">
    <xf applyAlignment="true" applyBorder="false" applyFill="false" applyFont="false" applyNumberFormat="false" applyProtection="false" borderId="0" fillId="0" fontId="0" numFmtId="0"/>
    <xf applyAlignment="true" applyBorder="true" applyFill="true" applyFont="true" applyNumberFormat="true" applyProtection="true" borderId="0" fillId="2" fontId="2" numFmtId="0">
      <alignment vertical="bottom"/>
    </xf>
  </cellStyleXfs>
  <cellXfs count="11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true" applyProtection="false" borderId="0" fillId="2" fontId="1" numFmtId="164" xfId="0">
      <alignment vertical="center"/>
    </xf>
    <xf applyAlignment="false" applyBorder="false" applyFill="false" applyFont="false" applyNumberFormat="false" applyProtection="false" borderId="0" fillId="2" fontId="3" numFmtId="164" xfId="1">
      <alignment vertical="center"/>
    </xf>
    <xf applyAlignment="false" applyBorder="false" applyFill="false" applyFont="false" applyNumberFormat="false" applyProtection="false" borderId="1" fillId="3" fontId="4" numFmtId="164" xfId="1">
      <alignment horizontal="center" vertical="center" wrapText="true"/>
    </xf>
    <xf applyAlignment="false" applyBorder="false" applyFill="false" applyFont="false" applyNumberFormat="false" applyProtection="false" borderId="2" fillId="3" fontId="4" numFmtId="164" xfId="1">
      <alignment horizontal="center" vertical="center" wrapText="true"/>
    </xf>
    <xf applyAlignment="false" applyBorder="false" applyFill="false" applyFont="false" applyNumberFormat="false" applyProtection="false" borderId="3" fillId="3" fontId="4" numFmtId="164" xfId="1">
      <alignment horizontal="center" vertical="center" wrapText="true"/>
    </xf>
    <xf applyAlignment="false" applyBorder="false" applyFill="false" applyFont="false" applyNumberFormat="false" applyProtection="false" borderId="0" fillId="2" fontId="3" numFmtId="164" xfId="1">
      <alignment vertical="center" wrapText="true"/>
    </xf>
    <xf applyAlignment="false" applyBorder="false" applyFill="false" applyFont="false" applyNumberFormat="false" applyProtection="false" borderId="0" fillId="2" fontId="3" numFmtId="165" xfId="1">
      <alignment horizontal="right" vertical="center" wrapText="true"/>
    </xf>
    <xf applyAlignment="false" applyBorder="false" applyFill="false" applyFont="false" applyNumberFormat="false" applyProtection="false" borderId="0" fillId="4" fontId="3" numFmtId="164" xfId="1">
      <alignment vertical="center" wrapText="true"/>
    </xf>
    <xf applyAlignment="false" applyBorder="false" applyFill="false" applyFont="false" applyNumberFormat="false" applyProtection="false" borderId="0" fillId="4" fontId="3" numFmtId="165" xfId="1">
      <alignment horizontal="right" vertical="center" wrapText="true"/>
    </xf>
    <xf applyAlignment="false" applyBorder="false" applyFill="false" applyFont="false" applyNumberFormat="false" applyProtection="false" borderId="0" fillId="2" fontId="3" numFmtId="166" xfId="1">
      <alignment horizontal="right" vertical="center" wrapText="true"/>
    </xf>
    <xf applyAlignment="false" applyBorder="false" applyFill="false" applyFont="false" applyNumberFormat="false" applyProtection="false" borderId="0" fillId="4" fontId="3" numFmtId="166" xfId="1">
      <alignment horizontal="right" vertical="center" wrapText="true"/>
    </xf>
    <xf applyAlignment="false" applyBorder="false" applyFill="false" applyFont="false" applyNumberFormat="false" applyProtection="false" borderId="0" fillId="4" fontId="3" numFmtId="164" xfId="1">
      <alignment horizontal="right" vertical="center" wrapText="true"/>
    </xf>
    <xf applyAlignment="false" applyBorder="false" applyFill="false" applyFont="false" applyNumberFormat="false" applyProtection="false" borderId="0" fillId="2" fontId="3" numFmtId="164" xfId="1">
      <alignment horizontal="right" vertical="center" wrapText="true"/>
    </xf>
    <xf applyAlignment="false" applyBorder="false" applyFill="false" applyFont="false" applyNumberFormat="false" applyProtection="false" borderId="0" fillId="5" fontId="1" numFmtId="167" xfId="1">
      <alignment vertical="center"/>
    </xf>
    <xf applyAlignment="false" applyBorder="false" applyFill="false" applyFont="false" applyNumberFormat="false" applyProtection="false" borderId="0" fillId="5" fontId="3" numFmtId="167" xfId="1">
      <alignment vertical="center"/>
    </xf>
    <xf applyAlignment="false" applyBorder="false" applyFill="false" applyFont="false" applyNumberFormat="false" applyProtection="false" borderId="4" fillId="6" fontId="4" numFmtId="167" xfId="1">
      <alignment horizontal="center" vertical="center" wrapText="true"/>
    </xf>
    <xf applyAlignment="false" applyBorder="false" applyFill="false" applyFont="false" applyNumberFormat="false" applyProtection="false" borderId="5" fillId="6" fontId="4" numFmtId="167" xfId="1">
      <alignment horizontal="center" vertical="center" wrapText="true"/>
    </xf>
    <xf applyAlignment="false" applyBorder="false" applyFill="false" applyFont="false" applyNumberFormat="false" applyProtection="false" borderId="6" fillId="6" fontId="4" numFmtId="167" xfId="1">
      <alignment horizontal="center" vertical="center" wrapText="true"/>
    </xf>
    <xf applyAlignment="false" applyBorder="false" applyFill="false" applyFont="false" applyNumberFormat="false" applyProtection="false" borderId="0" fillId="5" fontId="3" numFmtId="167" xfId="1">
      <alignment vertical="center" wrapText="true"/>
    </xf>
    <xf applyAlignment="false" applyBorder="false" applyFill="false" applyFont="false" applyNumberFormat="false" applyProtection="false" borderId="0" fillId="5" fontId="3" numFmtId="168" xfId="1">
      <alignment horizontal="right" vertical="center" wrapText="true"/>
    </xf>
    <xf applyAlignment="false" applyBorder="false" applyFill="false" applyFont="false" applyNumberFormat="false" applyProtection="false" borderId="0" fillId="7" fontId="3" numFmtId="167" xfId="1">
      <alignment vertical="center" wrapText="true"/>
    </xf>
    <xf applyAlignment="false" applyBorder="false" applyFill="false" applyFont="false" applyNumberFormat="false" applyProtection="false" borderId="0" fillId="7" fontId="3" numFmtId="168" xfId="1">
      <alignment horizontal="right" vertical="center" wrapText="true"/>
    </xf>
    <xf applyAlignment="false" applyBorder="false" applyFill="false" applyFont="false" applyNumberFormat="false" applyProtection="false" borderId="0" fillId="8" fontId="1" numFmtId="169" xfId="1">
      <alignment vertical="center"/>
    </xf>
    <xf applyAlignment="false" applyBorder="false" applyFill="false" applyFont="false" applyNumberFormat="false" applyProtection="false" borderId="0" fillId="8" fontId="3" numFmtId="169" xfId="1">
      <alignment vertical="center"/>
    </xf>
    <xf applyAlignment="false" applyBorder="false" applyFill="false" applyFont="false" applyNumberFormat="false" applyProtection="false" borderId="7" fillId="9" fontId="4" numFmtId="169" xfId="1">
      <alignment horizontal="center" vertical="center" wrapText="true"/>
    </xf>
    <xf applyAlignment="false" applyBorder="false" applyFill="false" applyFont="false" applyNumberFormat="false" applyProtection="false" borderId="8" fillId="9" fontId="4" numFmtId="169" xfId="1">
      <alignment horizontal="center" vertical="center" wrapText="true"/>
    </xf>
    <xf applyAlignment="false" applyBorder="false" applyFill="false" applyFont="false" applyNumberFormat="false" applyProtection="false" borderId="9" fillId="9" fontId="4" numFmtId="169" xfId="1">
      <alignment horizontal="center" vertical="center" wrapText="true"/>
    </xf>
    <xf applyAlignment="false" applyBorder="false" applyFill="false" applyFont="false" applyNumberFormat="false" applyProtection="false" borderId="0" fillId="8" fontId="3" numFmtId="169" xfId="1">
      <alignment vertical="center" wrapText="true"/>
    </xf>
    <xf applyAlignment="false" applyBorder="false" applyFill="false" applyFont="false" applyNumberFormat="false" applyProtection="false" borderId="0" fillId="8" fontId="3" numFmtId="170" xfId="1">
      <alignment horizontal="right" vertical="center" wrapText="true"/>
    </xf>
    <xf applyAlignment="false" applyBorder="false" applyFill="false" applyFont="false" applyNumberFormat="false" applyProtection="false" borderId="0" fillId="10" fontId="3" numFmtId="169" xfId="1">
      <alignment vertical="center" wrapText="true"/>
    </xf>
    <xf applyAlignment="false" applyBorder="false" applyFill="false" applyFont="false" applyNumberFormat="false" applyProtection="false" borderId="0" fillId="10" fontId="3" numFmtId="170" xfId="1">
      <alignment horizontal="right" vertical="center" wrapText="true"/>
    </xf>
    <xf applyAlignment="false" applyBorder="false" applyFill="false" applyFont="false" applyNumberFormat="false" applyProtection="false" borderId="0" fillId="11" fontId="1" numFmtId="171" xfId="1">
      <alignment vertical="center"/>
    </xf>
    <xf applyAlignment="false" applyBorder="false" applyFill="false" applyFont="false" applyNumberFormat="false" applyProtection="false" borderId="0" fillId="11" fontId="3" numFmtId="171" xfId="1">
      <alignment vertical="center"/>
    </xf>
    <xf applyAlignment="false" applyBorder="false" applyFill="false" applyFont="false" applyNumberFormat="false" applyProtection="false" borderId="0" fillId="11" fontId="2" numFmtId="0" xfId="1">
      <alignment vertical="center"/>
    </xf>
    <xf applyAlignment="false" applyBorder="false" applyFill="false" applyFont="false" applyNumberFormat="false" applyProtection="false" borderId="10" fillId="12" fontId="4" numFmtId="171" xfId="1">
      <alignment horizontal="center" vertical="center" wrapText="true"/>
    </xf>
    <xf applyAlignment="false" applyBorder="false" applyFill="false" applyFont="false" applyNumberFormat="false" applyProtection="false" borderId="11" fillId="12" fontId="4" numFmtId="171" xfId="1">
      <alignment horizontal="center" vertical="center" wrapText="true"/>
    </xf>
    <xf applyAlignment="false" applyBorder="false" applyFill="false" applyFont="false" applyNumberFormat="false" applyProtection="false" borderId="12" fillId="12" fontId="4" numFmtId="171" xfId="1">
      <alignment horizontal="center" vertical="center" wrapText="true"/>
    </xf>
    <xf applyAlignment="false" applyBorder="false" applyFill="false" applyFont="false" applyNumberFormat="false" applyProtection="false" borderId="0" fillId="11" fontId="3" numFmtId="171" xfId="1">
      <alignment vertical="center" wrapText="true"/>
    </xf>
    <xf applyAlignment="false" applyBorder="false" applyFill="false" applyFont="false" applyNumberFormat="false" applyProtection="false" borderId="0" fillId="11" fontId="3" numFmtId="172" xfId="1">
      <alignment horizontal="right" vertical="center" wrapText="true"/>
    </xf>
    <xf applyAlignment="false" applyBorder="false" applyFill="false" applyFont="false" applyNumberFormat="false" applyProtection="false" borderId="0" fillId="13" fontId="3" numFmtId="171" xfId="1">
      <alignment vertical="center" wrapText="true"/>
    </xf>
    <xf applyAlignment="false" applyBorder="false" applyFill="false" applyFont="false" applyNumberFormat="false" applyProtection="false" borderId="0" fillId="13" fontId="3" numFmtId="172" xfId="1">
      <alignment horizontal="right" vertical="center" wrapText="true"/>
    </xf>
    <xf applyAlignment="false" applyBorder="false" applyFill="false" applyFont="false" applyNumberFormat="false" applyProtection="false" borderId="0" fillId="14" fontId="1" numFmtId="173" xfId="1">
      <alignment vertical="center"/>
    </xf>
    <xf applyAlignment="false" applyBorder="false" applyFill="false" applyFont="false" applyNumberFormat="false" applyProtection="false" borderId="0" fillId="14" fontId="3" numFmtId="173" xfId="1">
      <alignment vertical="center"/>
    </xf>
    <xf applyAlignment="false" applyBorder="false" applyFill="false" applyFont="false" applyNumberFormat="false" applyProtection="false" borderId="13" fillId="15" fontId="4" numFmtId="173" xfId="1">
      <alignment horizontal="center" vertical="center" wrapText="true"/>
    </xf>
    <xf applyAlignment="false" applyBorder="false" applyFill="false" applyFont="false" applyNumberFormat="false" applyProtection="false" borderId="14" fillId="15" fontId="4" numFmtId="173" xfId="1">
      <alignment horizontal="center" vertical="center" wrapText="true"/>
    </xf>
    <xf applyAlignment="false" applyBorder="false" applyFill="false" applyFont="false" applyNumberFormat="false" applyProtection="false" borderId="15" fillId="15" fontId="4" numFmtId="173" xfId="1">
      <alignment horizontal="center" vertical="center" wrapText="true"/>
    </xf>
    <xf applyAlignment="false" applyBorder="false" applyFill="false" applyFont="false" applyNumberFormat="false" applyProtection="false" borderId="0" fillId="14" fontId="3" numFmtId="173" xfId="1">
      <alignment vertical="center" wrapText="true"/>
    </xf>
    <xf applyAlignment="false" applyBorder="false" applyFill="false" applyFont="false" applyNumberFormat="false" applyProtection="false" borderId="0" fillId="14" fontId="3" numFmtId="174" xfId="1">
      <alignment horizontal="right" vertical="center" wrapText="true"/>
    </xf>
    <xf applyAlignment="false" applyBorder="false" applyFill="false" applyFont="false" applyNumberFormat="false" applyProtection="false" borderId="0" fillId="14" fontId="3" numFmtId="175" xfId="1">
      <alignment horizontal="right" vertical="center" wrapText="true"/>
    </xf>
    <xf applyAlignment="false" applyBorder="false" applyFill="false" applyFont="false" applyNumberFormat="false" applyProtection="false" borderId="0" fillId="16" fontId="3" numFmtId="173" xfId="1">
      <alignment vertical="center" wrapText="true"/>
    </xf>
    <xf applyAlignment="false" applyBorder="false" applyFill="false" applyFont="false" applyNumberFormat="false" applyProtection="false" borderId="0" fillId="16" fontId="3" numFmtId="174" xfId="1">
      <alignment horizontal="right" vertical="center" wrapText="true"/>
    </xf>
    <xf applyAlignment="false" applyBorder="false" applyFill="false" applyFont="false" applyNumberFormat="false" applyProtection="false" borderId="0" fillId="16" fontId="3" numFmtId="175" xfId="1">
      <alignment horizontal="right" vertical="center" wrapText="true"/>
    </xf>
    <xf applyAlignment="false" applyBorder="false" applyFill="false" applyFont="false" applyNumberFormat="false" applyProtection="false" borderId="0" fillId="18" fontId="1" numFmtId="176" xfId="1">
      <alignment vertical="center"/>
    </xf>
    <xf applyAlignment="false" applyBorder="false" applyFill="false" applyFont="false" applyNumberFormat="false" applyProtection="false" borderId="0" fillId="17" fontId="3" numFmtId="176" xfId="1">
      <alignment vertical="center"/>
    </xf>
    <xf applyAlignment="false" applyBorder="false" applyFill="false" applyFont="false" applyNumberFormat="false" applyProtection="false" borderId="16" fillId="19" fontId="4" numFmtId="176" xfId="1">
      <alignment horizontal="center" vertical="center" wrapText="true"/>
    </xf>
    <xf applyAlignment="false" applyBorder="false" applyFill="false" applyFont="false" applyNumberFormat="false" applyProtection="false" borderId="17" fillId="19" fontId="4" numFmtId="176" xfId="1">
      <alignment horizontal="center" vertical="center" wrapText="true"/>
    </xf>
    <xf applyAlignment="false" applyBorder="false" applyFill="false" applyFont="false" applyNumberFormat="false" applyProtection="false" borderId="18" fillId="19" fontId="4" numFmtId="176" xfId="1">
      <alignment horizontal="center" vertical="center" wrapText="true"/>
    </xf>
    <xf applyAlignment="false" applyBorder="false" applyFill="false" applyFont="false" applyNumberFormat="false" applyProtection="false" borderId="0" fillId="17" fontId="3" numFmtId="176" xfId="1">
      <alignment vertical="center" wrapText="true"/>
    </xf>
    <xf applyAlignment="false" applyBorder="false" applyFill="false" applyFont="false" applyNumberFormat="false" applyProtection="false" borderId="0" fillId="17" fontId="3" numFmtId="177" xfId="1">
      <alignment horizontal="right" vertical="center" wrapText="true"/>
    </xf>
    <xf applyAlignment="false" applyBorder="false" applyFill="false" applyFont="false" applyNumberFormat="false" applyProtection="false" borderId="0" fillId="20" fontId="3" numFmtId="176" xfId="1">
      <alignment vertical="center" wrapText="true"/>
    </xf>
    <xf applyAlignment="false" applyBorder="false" applyFill="false" applyFont="false" applyNumberFormat="false" applyProtection="false" borderId="0" fillId="20" fontId="3" numFmtId="177" xfId="1">
      <alignment horizontal="right" vertical="center" wrapText="true"/>
    </xf>
    <xf applyAlignment="true" applyBorder="false" applyFill="true" applyFont="true" applyNumberFormat="true" applyProtection="false" borderId="0" fillId="21" fontId="1" numFmtId="178" xfId="0">
      <alignment vertical="center"/>
    </xf>
    <xf applyAlignment="false" applyBorder="false" applyFill="false" applyFont="false" applyNumberFormat="false" applyProtection="false" borderId="0" fillId="21" fontId="3" numFmtId="178" xfId="1">
      <alignment vertical="center"/>
    </xf>
    <xf applyAlignment="false" applyBorder="false" applyFill="false" applyFont="false" applyNumberFormat="false" applyProtection="false" borderId="19" fillId="22" fontId="4" numFmtId="178" xfId="1">
      <alignment horizontal="center" vertical="center" wrapText="true"/>
    </xf>
    <xf applyAlignment="false" applyBorder="false" applyFill="false" applyFont="false" applyNumberFormat="false" applyProtection="false" borderId="20" fillId="22" fontId="4" numFmtId="178" xfId="1">
      <alignment horizontal="center" vertical="center" wrapText="true"/>
    </xf>
    <xf applyAlignment="false" applyBorder="false" applyFill="false" applyFont="false" applyNumberFormat="false" applyProtection="false" borderId="21" fillId="22" fontId="4" numFmtId="178" xfId="1">
      <alignment horizontal="center" vertical="center" wrapText="true"/>
    </xf>
    <xf applyAlignment="false" applyBorder="false" applyFill="false" applyFont="false" applyNumberFormat="false" applyProtection="false" borderId="0" fillId="21" fontId="3" numFmtId="178" xfId="1">
      <alignment vertical="center" wrapText="true"/>
    </xf>
    <xf applyAlignment="false" applyBorder="false" applyFill="false" applyFont="false" applyNumberFormat="false" applyProtection="false" borderId="0" fillId="21" fontId="3" numFmtId="179" xfId="1">
      <alignment horizontal="right" vertical="center" wrapText="true"/>
    </xf>
    <xf applyAlignment="false" applyBorder="false" applyFill="false" applyFont="false" applyNumberFormat="false" applyProtection="false" borderId="0" fillId="21" fontId="3" numFmtId="180" xfId="1">
      <alignment horizontal="right" vertical="center" wrapText="true"/>
    </xf>
    <xf applyAlignment="false" applyBorder="false" applyFill="false" applyFont="false" applyNumberFormat="false" applyProtection="false" borderId="0" fillId="23" fontId="3" numFmtId="178" xfId="1">
      <alignment vertical="center" wrapText="true"/>
    </xf>
    <xf applyAlignment="false" applyBorder="false" applyFill="false" applyFont="false" applyNumberFormat="false" applyProtection="false" borderId="0" fillId="23" fontId="3" numFmtId="179" xfId="1">
      <alignment horizontal="right" vertical="center" wrapText="true"/>
    </xf>
    <xf applyAlignment="false" applyBorder="false" applyFill="false" applyFont="false" applyNumberFormat="false" applyProtection="false" borderId="0" fillId="23" fontId="3" numFmtId="180" xfId="1">
      <alignment horizontal="right" vertical="center" wrapText="true"/>
    </xf>
    <xf applyAlignment="false" applyBorder="false" applyFill="false" applyFont="false" applyNumberFormat="false" applyProtection="false" borderId="0" fillId="21" fontId="1" numFmtId="178" xfId="1">
      <alignment vertical="center"/>
    </xf>
    <xf applyAlignment="false" applyBorder="false" applyFill="false" applyFont="false" applyNumberFormat="false" applyProtection="false" borderId="0" fillId="21" fontId="2" numFmtId="0" xfId="1">
      <alignment vertical="center"/>
    </xf>
    <xf applyAlignment="false" applyBorder="false" applyFill="false" applyFont="false" applyNumberFormat="false" applyProtection="false" borderId="0" fillId="21" fontId="3" numFmtId="178" xfId="1">
      <alignment horizontal="right" vertical="center" wrapText="true"/>
    </xf>
    <xf applyAlignment="false" applyBorder="false" applyFill="false" applyFont="false" applyNumberFormat="false" applyProtection="false" borderId="0" fillId="23" fontId="3" numFmtId="178" xfId="1">
      <alignment horizontal="right" vertical="center" wrapText="true"/>
    </xf>
    <xf applyAlignment="true" applyBorder="false" applyFill="true" applyFont="true" applyNumberFormat="true" applyProtection="false" borderId="0" fillId="24" fontId="1" numFmtId="181" xfId="0">
      <alignment vertical="center"/>
    </xf>
    <xf applyAlignment="false" applyBorder="false" applyFill="false" applyFont="false" applyNumberFormat="false" applyProtection="false" borderId="0" fillId="24" fontId="3" numFmtId="181" xfId="1">
      <alignment vertical="center"/>
    </xf>
    <xf applyAlignment="false" applyBorder="false" applyFill="false" applyFont="false" applyNumberFormat="false" applyProtection="false" borderId="22" fillId="25" fontId="4" numFmtId="181" xfId="1">
      <alignment horizontal="center" vertical="center" wrapText="true"/>
    </xf>
    <xf applyAlignment="false" applyBorder="false" applyFill="false" applyFont="false" applyNumberFormat="false" applyProtection="false" borderId="23" fillId="25" fontId="4" numFmtId="181" xfId="1">
      <alignment horizontal="center" vertical="center" wrapText="true"/>
    </xf>
    <xf applyAlignment="false" applyBorder="false" applyFill="false" applyFont="false" applyNumberFormat="false" applyProtection="false" borderId="24" fillId="25" fontId="4" numFmtId="181" xfId="1">
      <alignment horizontal="center" vertical="center" wrapText="true"/>
    </xf>
    <xf applyAlignment="false" applyBorder="false" applyFill="false" applyFont="false" applyNumberFormat="false" applyProtection="false" borderId="0" fillId="24" fontId="3" numFmtId="181" xfId="1">
      <alignment vertical="center" wrapText="true"/>
    </xf>
    <xf applyAlignment="false" applyBorder="false" applyFill="false" applyFont="false" applyNumberFormat="false" applyProtection="false" borderId="0" fillId="24" fontId="3" numFmtId="182" xfId="1">
      <alignment horizontal="right" vertical="center" wrapText="true"/>
    </xf>
    <xf applyAlignment="false" applyBorder="false" applyFill="false" applyFont="false" applyNumberFormat="false" applyProtection="false" borderId="0" fillId="26" fontId="3" numFmtId="181" xfId="1">
      <alignment vertical="center" wrapText="true"/>
    </xf>
    <xf applyAlignment="false" applyBorder="false" applyFill="false" applyFont="false" applyNumberFormat="false" applyProtection="false" borderId="0" fillId="26" fontId="3" numFmtId="183" xfId="1">
      <alignment horizontal="right" vertical="center" wrapText="true"/>
    </xf>
    <xf applyAlignment="false" applyBorder="false" applyFill="false" applyFont="false" applyNumberFormat="false" applyProtection="false" borderId="0" fillId="24" fontId="3" numFmtId="183" xfId="1">
      <alignment horizontal="right" vertical="center" wrapText="true"/>
    </xf>
    <xf applyAlignment="false" applyBorder="false" applyFill="false" applyFont="false" applyNumberFormat="false" applyProtection="false" borderId="0" fillId="27" fontId="1" numFmtId="184" xfId="1">
      <alignment vertical="center"/>
    </xf>
    <xf applyAlignment="false" applyBorder="false" applyFill="false" applyFont="false" applyNumberFormat="false" applyProtection="false" borderId="0" fillId="27" fontId="3" numFmtId="184" xfId="1">
      <alignment vertical="center"/>
    </xf>
    <xf applyAlignment="false" applyBorder="false" applyFill="false" applyFont="false" applyNumberFormat="false" applyProtection="false" borderId="25" fillId="28" fontId="4" numFmtId="184" xfId="1">
      <alignment horizontal="center" vertical="center" wrapText="true"/>
    </xf>
    <xf applyAlignment="false" applyBorder="false" applyFill="false" applyFont="false" applyNumberFormat="false" applyProtection="false" borderId="26" fillId="28" fontId="4" numFmtId="184" xfId="1">
      <alignment horizontal="center" vertical="center" wrapText="true"/>
    </xf>
    <xf applyAlignment="false" applyBorder="false" applyFill="false" applyFont="false" applyNumberFormat="false" applyProtection="false" borderId="27" fillId="28" fontId="4" numFmtId="184" xfId="1">
      <alignment horizontal="center" vertical="center" wrapText="true"/>
    </xf>
    <xf applyAlignment="false" applyBorder="false" applyFill="false" applyFont="false" applyNumberFormat="false" applyProtection="false" borderId="0" fillId="27" fontId="3" numFmtId="184" xfId="1">
      <alignment vertical="center" wrapText="true"/>
    </xf>
    <xf applyAlignment="false" applyBorder="false" applyFill="false" applyFont="false" applyNumberFormat="false" applyProtection="false" borderId="0" fillId="27" fontId="3" numFmtId="185" xfId="1">
      <alignment horizontal="right" vertical="center" wrapText="true"/>
    </xf>
    <xf applyAlignment="false" applyBorder="false" applyFill="false" applyFont="false" applyNumberFormat="false" applyProtection="false" borderId="0" fillId="29" fontId="3" numFmtId="184" xfId="1">
      <alignment vertical="center" wrapText="true"/>
    </xf>
    <xf applyAlignment="false" applyBorder="false" applyFill="false" applyFont="false" applyNumberFormat="false" applyProtection="false" borderId="0" fillId="29" fontId="3" numFmtId="185" xfId="1">
      <alignment horizontal="right" vertical="center" wrapText="true"/>
    </xf>
    <xf applyAlignment="false" applyBorder="false" applyFill="false" applyFont="false" applyNumberFormat="false" applyProtection="false" borderId="0" fillId="30" fontId="1" numFmtId="186" xfId="1">
      <alignment vertical="center"/>
    </xf>
    <xf applyAlignment="false" applyBorder="false" applyFill="false" applyFont="false" applyNumberFormat="false" applyProtection="false" borderId="0" fillId="30" fontId="3" numFmtId="186" xfId="1">
      <alignment vertical="center"/>
    </xf>
    <xf applyAlignment="false" applyBorder="false" applyFill="false" applyFont="false" applyNumberFormat="false" applyProtection="false" borderId="28" fillId="31" fontId="4" numFmtId="186" xfId="1">
      <alignment horizontal="center" vertical="center" wrapText="true"/>
    </xf>
    <xf applyAlignment="false" applyBorder="false" applyFill="false" applyFont="false" applyNumberFormat="false" applyProtection="false" borderId="29" fillId="31" fontId="4" numFmtId="186" xfId="1">
      <alignment horizontal="center" vertical="center" wrapText="true"/>
    </xf>
    <xf applyAlignment="false" applyBorder="false" applyFill="false" applyFont="false" applyNumberFormat="false" applyProtection="false" borderId="30" fillId="31" fontId="4" numFmtId="186" xfId="1">
      <alignment horizontal="center" vertical="center" wrapText="true"/>
    </xf>
    <xf applyAlignment="false" applyBorder="false" applyFill="false" applyFont="false" applyNumberFormat="false" applyProtection="false" borderId="0" fillId="30" fontId="3" numFmtId="186" xfId="1">
      <alignment vertical="center" wrapText="true"/>
    </xf>
    <xf applyAlignment="false" applyBorder="false" applyFill="false" applyFont="false" applyNumberFormat="false" applyProtection="false" borderId="0" fillId="30" fontId="3" numFmtId="187" xfId="1">
      <alignment horizontal="right" vertical="center" wrapText="true"/>
    </xf>
    <xf applyAlignment="false" applyBorder="false" applyFill="false" applyFont="false" applyNumberFormat="false" applyProtection="false" borderId="0" fillId="32" fontId="3" numFmtId="186" xfId="1">
      <alignment vertical="center" wrapText="true"/>
    </xf>
    <xf applyAlignment="false" applyBorder="false" applyFill="false" applyFont="false" applyNumberFormat="false" applyProtection="false" borderId="0" fillId="32" fontId="3" numFmtId="187" xfId="1">
      <alignment horizontal="right" vertical="center" wrapText="true"/>
    </xf>
    <xf applyAlignment="false" applyBorder="false" applyFill="false" applyFont="false" applyNumberFormat="false" applyProtection="false" borderId="0" fillId="33" fontId="1" numFmtId="188" xfId="1">
      <alignment vertical="center"/>
    </xf>
    <xf applyAlignment="false" applyBorder="false" applyFill="false" applyFont="false" applyNumberFormat="false" applyProtection="false" borderId="0" fillId="33" fontId="3" numFmtId="188" xfId="1">
      <alignment vertical="center"/>
    </xf>
    <xf applyAlignment="false" applyBorder="false" applyFill="false" applyFont="false" applyNumberFormat="false" applyProtection="false" borderId="31" fillId="34" fontId="4" numFmtId="188" xfId="1">
      <alignment horizontal="center" vertical="center" wrapText="true"/>
    </xf>
    <xf applyAlignment="false" applyBorder="false" applyFill="false" applyFont="false" applyNumberFormat="false" applyProtection="false" borderId="32" fillId="34" fontId="4" numFmtId="188" xfId="1">
      <alignment horizontal="center" vertical="center" wrapText="true"/>
    </xf>
    <xf applyAlignment="false" applyBorder="false" applyFill="false" applyFont="false" applyNumberFormat="false" applyProtection="false" borderId="33" fillId="34" fontId="4" numFmtId="188" xfId="1">
      <alignment horizontal="center" vertical="center" wrapText="true"/>
    </xf>
    <xf applyAlignment="false" applyBorder="false" applyFill="false" applyFont="false" applyNumberFormat="false" applyProtection="false" borderId="0" fillId="33" fontId="3" numFmtId="188" xfId="1">
      <alignment vertical="center" wrapText="true"/>
    </xf>
    <xf applyAlignment="false" applyBorder="false" applyFill="false" applyFont="false" applyNumberFormat="false" applyProtection="false" borderId="0" fillId="33" fontId="3" numFmtId="189" xfId="1">
      <alignment horizontal="right" vertical="center" wrapText="true"/>
    </xf>
    <xf applyAlignment="false" applyBorder="false" applyFill="false" applyFont="false" applyNumberFormat="false" applyProtection="false" borderId="0" fillId="33" fontId="3" numFmtId="190" xfId="1">
      <alignment horizontal="right" vertical="center" wrapText="true"/>
    </xf>
    <xf applyAlignment="false" applyBorder="false" applyFill="false" applyFont="false" applyNumberFormat="false" applyProtection="false" borderId="0" fillId="35" fontId="3" numFmtId="188" xfId="1">
      <alignment vertical="center" wrapText="true"/>
    </xf>
    <xf applyAlignment="false" applyBorder="false" applyFill="false" applyFont="false" applyNumberFormat="false" applyProtection="false" borderId="0" fillId="35" fontId="3" numFmtId="189" xfId="1">
      <alignment horizontal="right" vertical="center" wrapText="true"/>
    </xf>
    <xf applyAlignment="false" applyBorder="false" applyFill="false" applyFont="false" applyNumberFormat="false" applyProtection="false" borderId="0" fillId="35" fontId="3" numFmtId="190" xfId="1">
      <alignment horizontal="right" vertical="center" wrapText="true"/>
    </xf>
  </cellXfs>
  <cellStyles count="2">
    <cellStyle builtinId="0" name="Normal" xfId="0"/>
    <cellStyle name="Normal" xfId="1"/>
  </cellStyles>
  <dxfs count="6">
    <dxf/>
    <dxf/>
    <dxf/>
    <dxf/>
    <dxf/>
    <dxf/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>
      <pane state="frozen" topLeftCell="C3" xSplit="2" ySplit="2"/>
    </sheetView>
  </sheetViews>
  <sheetFormatPr defaultRowHeight="16"/>
  <cols>
    <col collapsed="false" customWidth="true" hidden="false" max="5" min="5" style="0" width="19"/>
    <col collapsed="false" customWidth="true" hidden="false" max="6" min="6" style="0" width="42"/>
    <col collapsed="false" customWidth="true" hidden="false" max="1" min="1" style="0" width="19"/>
    <col collapsed="false" customWidth="true" hidden="false" max="2" min="2" style="0" width="25"/>
    <col collapsed="false" customWidth="true" hidden="false" max="3" min="3" style="0" width="16"/>
    <col collapsed="false" customWidth="true" hidden="false" max="4" min="4" style="0" width="16"/>
  </cols>
  <sheetData>
    <row customHeight="true" ht="31" r="1">
      <c r="A1" s="1" t="s">
        <v>1</v>
      </c>
      <c r="B1" s="2"/>
      <c r="C1" s="2"/>
      <c r="D1" s="2"/>
      <c r="E1" s="2"/>
      <c r="F1" s="2"/>
    </row>
    <row customHeight="true" ht="34"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5" t="s">
        <v>7</v>
      </c>
    </row>
    <row customHeight="true" ht="27" r="3">
      <c r="A3" s="6" t="s">
        <v>8</v>
      </c>
      <c r="B3" s="6" t="s">
        <v>9</v>
      </c>
      <c r="C3" s="7">
        <v>100</v>
      </c>
      <c r="D3" s="6" t="s">
        <v>10</v>
      </c>
      <c r="E3" s="6" t="s">
        <v>11</v>
      </c>
      <c r="F3" s="6"/>
    </row>
    <row customHeight="true" ht="27" r="4">
      <c r="A4" s="8" t="s">
        <v>8</v>
      </c>
      <c r="B4" s="8" t="s">
        <v>12</v>
      </c>
      <c r="C4" s="9">
        <v>1</v>
      </c>
      <c r="D4" s="8" t="s">
        <v>13</v>
      </c>
      <c r="E4" s="8" t="s">
        <v>11</v>
      </c>
      <c r="F4" s="8"/>
    </row>
    <row customHeight="true" ht="27" r="5">
      <c r="A5" s="6" t="s">
        <v>8</v>
      </c>
      <c r="B5" s="6" t="s">
        <v>14</v>
      </c>
      <c r="C5" s="7">
        <v>2</v>
      </c>
      <c r="D5" s="6" t="s">
        <v>15</v>
      </c>
      <c r="E5" s="6" t="s">
        <v>11</v>
      </c>
      <c r="F5" s="6"/>
    </row>
    <row customHeight="true" ht="27" r="6">
      <c r="A6" s="8" t="s">
        <v>8</v>
      </c>
      <c r="B6" s="8" t="s">
        <v>16</v>
      </c>
      <c r="C6" s="9">
        <v>0</v>
      </c>
      <c r="D6" s="8" t="s">
        <v>17</v>
      </c>
      <c r="E6" s="8" t="s">
        <v>18</v>
      </c>
      <c r="F6" s="8"/>
    </row>
    <row customHeight="true" ht="27" r="7">
      <c r="A7" s="6" t="s">
        <v>8</v>
      </c>
      <c r="B7" s="6" t="s">
        <v>19</v>
      </c>
      <c r="C7" s="7">
        <v>1</v>
      </c>
      <c r="D7" s="6" t="s">
        <v>20</v>
      </c>
      <c r="E7" s="6" t="s">
        <v>11</v>
      </c>
      <c r="F7" s="6"/>
    </row>
    <row customHeight="true" ht="27" r="8">
      <c r="A8" s="8" t="s">
        <v>21</v>
      </c>
      <c r="B8" s="8" t="s">
        <v>22</v>
      </c>
      <c r="C8" s="9">
        <v>4</v>
      </c>
      <c r="D8" s="8" t="s">
        <v>13</v>
      </c>
      <c r="E8" s="8" t="s">
        <v>11</v>
      </c>
      <c r="F8" s="8"/>
    </row>
    <row customHeight="true" ht="27" r="9">
      <c r="A9" s="6" t="s">
        <v>21</v>
      </c>
      <c r="B9" s="6" t="s">
        <v>23</v>
      </c>
      <c r="C9" s="7">
        <v>2</v>
      </c>
      <c r="D9" s="6" t="s">
        <v>15</v>
      </c>
      <c r="E9" s="6" t="s">
        <v>11</v>
      </c>
      <c r="F9" s="6"/>
    </row>
    <row customHeight="true" ht="27" r="10">
      <c r="A10" s="6" t="s">
        <v>21</v>
      </c>
      <c r="B10" s="6" t="s">
        <v>24</v>
      </c>
      <c r="C10" s="10">
        <v>0.5</v>
      </c>
      <c r="D10" s="6" t="s">
        <v>25</v>
      </c>
      <c r="E10" s="6" t="s">
        <v>11</v>
      </c>
      <c r="F10" s="6" t="s">
        <v>26</v>
      </c>
    </row>
    <row customHeight="true" ht="27" r="11">
      <c r="A11" s="8" t="s">
        <v>21</v>
      </c>
      <c r="B11" s="8" t="s">
        <v>27</v>
      </c>
      <c r="C11" s="11">
        <v>0.7</v>
      </c>
      <c r="D11" s="8" t="s">
        <v>25</v>
      </c>
      <c r="E11" s="8" t="s">
        <v>11</v>
      </c>
      <c r="F11" s="8"/>
    </row>
    <row customHeight="true" ht="27" r="12">
      <c r="A12" s="6" t="s">
        <v>28</v>
      </c>
      <c r="B12" s="6" t="s">
        <v>29</v>
      </c>
      <c r="C12" s="10">
        <v>1.1</v>
      </c>
      <c r="D12" s="6" t="s">
        <v>30</v>
      </c>
      <c r="E12" s="6" t="s">
        <v>18</v>
      </c>
      <c r="F12" s="6" t="s">
        <v>31</v>
      </c>
    </row>
    <row customHeight="true" ht="54" r="13">
      <c r="A13" s="8" t="s">
        <v>28</v>
      </c>
      <c r="B13" s="8" t="s">
        <v>32</v>
      </c>
      <c r="C13" s="11">
        <v>0.4</v>
      </c>
      <c r="D13" s="8" t="s">
        <v>30</v>
      </c>
      <c r="E13" s="8" t="s">
        <v>11</v>
      </c>
      <c r="F13" s="8"/>
    </row>
    <row customHeight="true" ht="27" r="14">
      <c r="A14" s="6" t="s">
        <v>28</v>
      </c>
      <c r="B14" s="6" t="s">
        <v>33</v>
      </c>
      <c r="C14" s="10">
        <v>1.6</v>
      </c>
      <c r="D14" s="6" t="s">
        <v>30</v>
      </c>
      <c r="E14" s="6" t="s">
        <v>11</v>
      </c>
      <c r="F14" s="6"/>
    </row>
    <row customHeight="true" ht="27" r="15">
      <c r="A15" s="8" t="s">
        <v>34</v>
      </c>
      <c r="B15" s="8" t="s">
        <v>35</v>
      </c>
      <c r="C15" s="11">
        <v>0.1</v>
      </c>
      <c r="D15" s="8" t="s">
        <v>36</v>
      </c>
      <c r="E15" s="8" t="s">
        <v>11</v>
      </c>
      <c r="F15" s="8" t="s">
        <v>37</v>
      </c>
    </row>
    <row customHeight="true" ht="42" r="16">
      <c r="A16" s="6" t="s">
        <v>34</v>
      </c>
      <c r="B16" s="6" t="s">
        <v>38</v>
      </c>
      <c r="C16" s="10">
        <v>0.3</v>
      </c>
      <c r="D16" s="6" t="s">
        <v>36</v>
      </c>
      <c r="E16" s="6" t="s">
        <v>11</v>
      </c>
      <c r="F16" s="6" t="s">
        <v>39</v>
      </c>
    </row>
    <row customHeight="true" ht="42" r="17">
      <c r="A17" s="8" t="s">
        <v>34</v>
      </c>
      <c r="B17" s="8" t="s">
        <v>40</v>
      </c>
      <c r="C17" s="11">
        <v>0.5</v>
      </c>
      <c r="D17" s="8" t="s">
        <v>30</v>
      </c>
      <c r="E17" s="8" t="s">
        <v>11</v>
      </c>
      <c r="F17" s="8" t="s">
        <v>41</v>
      </c>
    </row>
    <row customHeight="true" ht="42" r="18">
      <c r="A18" s="6" t="s">
        <v>34</v>
      </c>
      <c r="B18" s="6" t="s">
        <v>42</v>
      </c>
      <c r="C18" s="10">
        <v>1.5</v>
      </c>
      <c r="D18" s="6" t="s">
        <v>30</v>
      </c>
      <c r="E18" s="6" t="s">
        <v>11</v>
      </c>
      <c r="F18" s="6" t="s">
        <v>41</v>
      </c>
    </row>
    <row customHeight="true" ht="42" r="19">
      <c r="A19" s="8" t="s">
        <v>43</v>
      </c>
      <c r="B19" s="8" t="s">
        <v>44</v>
      </c>
      <c r="C19" s="9">
        <v>1</v>
      </c>
      <c r="D19" s="8" t="s">
        <v>20</v>
      </c>
      <c r="E19" s="8" t="s">
        <v>18</v>
      </c>
      <c r="F19" s="8" t="s">
        <v>45</v>
      </c>
    </row>
    <row customHeight="true" ht="42" r="20">
      <c r="A20" s="8" t="s">
        <v>46</v>
      </c>
      <c r="B20" s="8" t="s">
        <v>47</v>
      </c>
      <c r="C20" s="9" t="s">
        <v>48</v>
      </c>
      <c r="D20" s="8" t="s">
        <v>49</v>
      </c>
      <c r="E20" s="8" t="s">
        <v>18</v>
      </c>
      <c r="F20" s="8" t="s">
        <v>50</v>
      </c>
    </row>
    <row customHeight="true" ht="42" r="21">
      <c r="A21" s="6" t="s">
        <v>51</v>
      </c>
      <c r="B21" s="6" t="s">
        <v>52</v>
      </c>
      <c r="C21" s="7">
        <v>40</v>
      </c>
      <c r="D21" s="6" t="s">
        <v>13</v>
      </c>
      <c r="E21" s="6" t="s">
        <v>11</v>
      </c>
      <c r="F21" s="6"/>
    </row>
    <row customHeight="true" ht="54" r="22">
      <c r="A22" s="8" t="s">
        <v>51</v>
      </c>
      <c r="B22" s="8" t="s">
        <v>53</v>
      </c>
      <c r="C22" s="9">
        <v>100</v>
      </c>
      <c r="D22" s="8" t="s">
        <v>13</v>
      </c>
      <c r="E22" s="8" t="s">
        <v>11</v>
      </c>
      <c r="F22" s="8"/>
    </row>
    <row customHeight="true" ht="27" r="23">
      <c r="A23" s="6" t="s">
        <v>51</v>
      </c>
      <c r="B23" s="6" t="s">
        <v>54</v>
      </c>
      <c r="C23" s="7">
        <v>6</v>
      </c>
      <c r="D23" s="6" t="s">
        <v>13</v>
      </c>
      <c r="E23" s="6" t="s">
        <v>18</v>
      </c>
      <c r="F23" s="6" t="s">
        <v>55</v>
      </c>
    </row>
    <row customHeight="true" ht="27" r="24">
      <c r="A24" s="6" t="s">
        <v>56</v>
      </c>
      <c r="B24" s="6" t="s">
        <v>57</v>
      </c>
      <c r="C24" s="7">
        <v>4</v>
      </c>
      <c r="D24" s="6" t="s">
        <v>58</v>
      </c>
      <c r="E24" s="6" t="s">
        <v>11</v>
      </c>
      <c r="F24" s="6"/>
    </row>
    <row customHeight="true" ht="27" r="25">
      <c r="A25" s="8" t="s">
        <v>56</v>
      </c>
      <c r="B25" s="8" t="s">
        <v>59</v>
      </c>
      <c r="C25" s="9"/>
      <c r="D25" s="8" t="s">
        <v>15</v>
      </c>
      <c r="E25" s="8" t="s">
        <v>60</v>
      </c>
      <c r="F25" s="8" t="s">
        <v>61</v>
      </c>
    </row>
    <row customHeight="true" ht="27" r="26">
      <c r="A26" s="6" t="s">
        <v>56</v>
      </c>
      <c r="B26" s="6" t="s">
        <v>62</v>
      </c>
      <c r="C26" s="10"/>
      <c r="D26" s="6" t="s">
        <v>63</v>
      </c>
      <c r="E26" s="6" t="s">
        <v>60</v>
      </c>
      <c r="F26" s="6" t="s">
        <v>64</v>
      </c>
    </row>
    <row customHeight="true" ht="27" r="27">
      <c r="A27" s="8" t="s">
        <v>65</v>
      </c>
      <c r="B27" s="8" t="s">
        <v>66</v>
      </c>
      <c r="C27" s="9"/>
      <c r="D27" s="8" t="s">
        <v>67</v>
      </c>
      <c r="E27" s="8" t="s">
        <v>60</v>
      </c>
      <c r="F27" s="8" t="s">
        <v>68</v>
      </c>
    </row>
    <row customHeight="true" ht="27" r="28">
      <c r="A28" s="6" t="s">
        <v>69</v>
      </c>
      <c r="B28" s="6" t="s">
        <v>70</v>
      </c>
      <c r="C28" s="10"/>
      <c r="D28" s="6" t="s">
        <v>36</v>
      </c>
      <c r="E28" s="6" t="s">
        <v>60</v>
      </c>
      <c r="F28" s="6" t="s">
        <v>71</v>
      </c>
    </row>
    <row customHeight="true" ht="27" r="29">
      <c r="A29" s="8" t="s">
        <v>72</v>
      </c>
      <c r="B29" s="8" t="s">
        <v>73</v>
      </c>
      <c r="C29" s="9">
        <v>0</v>
      </c>
      <c r="D29" s="8" t="s">
        <v>67</v>
      </c>
      <c r="E29" s="8" t="s">
        <v>74</v>
      </c>
      <c r="F29" s="8" t="s">
        <v>75</v>
      </c>
    </row>
    <row customHeight="true" ht="27" r="30">
      <c r="A30" s="6" t="s">
        <v>72</v>
      </c>
      <c r="B30" s="6" t="s">
        <v>76</v>
      </c>
      <c r="C30" s="7">
        <v>3</v>
      </c>
      <c r="D30" s="6" t="s">
        <v>67</v>
      </c>
      <c r="E30" s="6" t="s">
        <v>74</v>
      </c>
      <c r="F30" s="6" t="s">
        <v>77</v>
      </c>
    </row>
    <row customHeight="true" ht="27" r="31">
      <c r="A31" s="8" t="s">
        <v>72</v>
      </c>
      <c r="B31" s="8" t="s">
        <v>78</v>
      </c>
      <c r="C31" s="9">
        <v>1</v>
      </c>
      <c r="D31" s="8" t="s">
        <v>67</v>
      </c>
      <c r="E31" s="8" t="s">
        <v>74</v>
      </c>
      <c r="F31" s="8" t="s">
        <v>79</v>
      </c>
    </row>
    <row customHeight="true" ht="27" r="32">
      <c r="A32" s="6" t="s">
        <v>72</v>
      </c>
      <c r="B32" s="6" t="s">
        <v>80</v>
      </c>
      <c r="C32" s="7">
        <v>1</v>
      </c>
      <c r="D32" s="6" t="s">
        <v>67</v>
      </c>
      <c r="E32" s="6" t="s">
        <v>74</v>
      </c>
      <c r="F32" s="6" t="s">
        <v>81</v>
      </c>
    </row>
    <row customHeight="true" ht="27" r="33">
      <c r="A33" s="8" t="s">
        <v>72</v>
      </c>
      <c r="B33" s="8" t="s">
        <v>82</v>
      </c>
      <c r="C33" s="9">
        <v>1</v>
      </c>
      <c r="D33" s="8" t="s">
        <v>67</v>
      </c>
      <c r="E33" s="8" t="s">
        <v>74</v>
      </c>
      <c r="F33" s="8" t="s">
        <v>83</v>
      </c>
    </row>
    <row customHeight="true" ht="27" r="34">
      <c r="A34" s="6" t="s">
        <v>72</v>
      </c>
      <c r="B34" s="6" t="s">
        <v>84</v>
      </c>
      <c r="C34" s="7">
        <v>0</v>
      </c>
      <c r="D34" s="6" t="s">
        <v>67</v>
      </c>
      <c r="E34" s="6" t="s">
        <v>74</v>
      </c>
      <c r="F34" s="6" t="s">
        <v>85</v>
      </c>
    </row>
    <row customHeight="true" ht="27" r="35">
      <c r="A35" s="8" t="s">
        <v>72</v>
      </c>
      <c r="B35" s="8" t="s">
        <v>86</v>
      </c>
      <c r="C35" s="9">
        <v>0</v>
      </c>
      <c r="D35" s="8" t="s">
        <v>67</v>
      </c>
      <c r="E35" s="8" t="s">
        <v>74</v>
      </c>
      <c r="F35" s="8" t="s">
        <v>87</v>
      </c>
    </row>
    <row customHeight="true" ht="54" r="36">
      <c r="A36" s="6" t="s">
        <v>72</v>
      </c>
      <c r="B36" s="6" t="s">
        <v>88</v>
      </c>
      <c r="C36" s="7">
        <v>0</v>
      </c>
      <c r="D36" s="6" t="s">
        <v>67</v>
      </c>
      <c r="E36" s="6" t="s">
        <v>74</v>
      </c>
      <c r="F36" s="6" t="s">
        <v>89</v>
      </c>
    </row>
    <row customHeight="true" ht="27" r="37">
      <c r="A37" s="8" t="s">
        <v>72</v>
      </c>
      <c r="B37" s="8" t="s">
        <v>90</v>
      </c>
      <c r="C37" s="9">
        <v>0</v>
      </c>
      <c r="D37" s="8" t="s">
        <v>67</v>
      </c>
      <c r="E37" s="8" t="s">
        <v>74</v>
      </c>
      <c r="F37" s="8" t="s">
        <v>91</v>
      </c>
    </row>
    <row customHeight="true" ht="27" r="38">
      <c r="A38" s="6" t="s">
        <v>34</v>
      </c>
      <c r="B38" s="6" t="s">
        <v>92</v>
      </c>
      <c r="C38" s="7"/>
      <c r="D38" s="6" t="s">
        <v>67</v>
      </c>
      <c r="E38" s="6" t="s">
        <v>74</v>
      </c>
      <c r="F38" s="6" t="s">
        <v>93</v>
      </c>
    </row>
    <row customHeight="true" ht="27" r="39">
      <c r="A39" s="8" t="s">
        <v>34</v>
      </c>
      <c r="B39" s="8" t="s">
        <v>94</v>
      </c>
      <c r="C39" s="9">
        <v>1</v>
      </c>
      <c r="D39" s="8" t="s">
        <v>95</v>
      </c>
      <c r="E39" s="8" t="s">
        <v>74</v>
      </c>
      <c r="F39" s="8" t="s">
        <v>96</v>
      </c>
    </row>
    <row customHeight="true" ht="27" r="40">
      <c r="A40" s="6" t="s">
        <v>97</v>
      </c>
      <c r="B40" s="6" t="s">
        <v>98</v>
      </c>
      <c r="C40" s="7">
        <v>3</v>
      </c>
      <c r="D40" s="6" t="s">
        <v>99</v>
      </c>
      <c r="E40" s="6" t="s">
        <v>74</v>
      </c>
      <c r="F40" s="6" t="s">
        <v>100</v>
      </c>
    </row>
    <row customHeight="true" ht="42" r="41">
      <c r="A41" s="8" t="s">
        <v>97</v>
      </c>
      <c r="B41" s="8" t="s">
        <v>101</v>
      </c>
      <c r="C41" s="9">
        <v>1</v>
      </c>
      <c r="D41" s="8" t="s">
        <v>102</v>
      </c>
      <c r="E41" s="8" t="s">
        <v>74</v>
      </c>
      <c r="F41" s="8" t="s">
        <v>103</v>
      </c>
    </row>
    <row customHeight="true" ht="42" r="42">
      <c r="A42" s="6" t="s">
        <v>104</v>
      </c>
      <c r="B42" s="6" t="s">
        <v>105</v>
      </c>
      <c r="C42" s="7">
        <v>1</v>
      </c>
      <c r="D42" s="6" t="s">
        <v>106</v>
      </c>
      <c r="E42" s="6" t="s">
        <v>74</v>
      </c>
      <c r="F42" s="6" t="s">
        <v>107</v>
      </c>
    </row>
    <row customHeight="true" ht="27" r="43">
      <c r="A43" s="8" t="s">
        <v>21</v>
      </c>
      <c r="B43" s="8" t="s">
        <v>108</v>
      </c>
      <c r="C43" s="9">
        <v>3</v>
      </c>
      <c r="D43" s="8" t="s">
        <v>109</v>
      </c>
      <c r="E43" s="8" t="s">
        <v>11</v>
      </c>
      <c r="F43" s="8" t="s">
        <v>110</v>
      </c>
    </row>
    <row customHeight="true" ht="27" r="44">
      <c r="A44" s="6" t="s">
        <v>111</v>
      </c>
      <c r="B44" s="6" t="s">
        <v>112</v>
      </c>
      <c r="C44" s="7">
        <v>1</v>
      </c>
      <c r="D44" s="6" t="s">
        <v>113</v>
      </c>
      <c r="E44" s="6" t="s">
        <v>74</v>
      </c>
      <c r="F44" s="6" t="s">
        <v>114</v>
      </c>
    </row>
    <row customHeight="true" ht="42" r="45">
      <c r="A45" s="8" t="s">
        <v>111</v>
      </c>
      <c r="B45" s="8" t="s">
        <v>115</v>
      </c>
      <c r="C45" s="9">
        <v>10</v>
      </c>
      <c r="D45" s="8" t="s">
        <v>113</v>
      </c>
      <c r="E45" s="8" t="s">
        <v>74</v>
      </c>
      <c r="F45" s="8" t="s">
        <v>116</v>
      </c>
    </row>
    <row customHeight="true" ht="27" r="46">
      <c r="A46" s="6" t="s">
        <v>65</v>
      </c>
      <c r="B46" s="6" t="s">
        <v>117</v>
      </c>
      <c r="C46" s="7"/>
      <c r="D46" s="6" t="s">
        <v>67</v>
      </c>
      <c r="E46" s="6" t="s">
        <v>60</v>
      </c>
      <c r="F46" s="6" t="s">
        <v>118</v>
      </c>
    </row>
    <row customHeight="true" ht="27" r="47">
      <c r="A47" s="8" t="s">
        <v>65</v>
      </c>
      <c r="B47" s="8" t="s">
        <v>119</v>
      </c>
      <c r="C47" s="9"/>
      <c r="D47" s="8" t="s">
        <v>120</v>
      </c>
      <c r="E47" s="8" t="s">
        <v>60</v>
      </c>
      <c r="F47" s="8" t="s">
        <v>121</v>
      </c>
    </row>
    <row customHeight="true" ht="27" r="48">
      <c r="A48" s="6" t="s">
        <v>122</v>
      </c>
      <c r="B48" s="6" t="s">
        <v>123</v>
      </c>
      <c r="C48" s="7">
        <v>3</v>
      </c>
      <c r="D48" s="6" t="s">
        <v>106</v>
      </c>
      <c r="E48" s="6" t="s">
        <v>124</v>
      </c>
      <c r="F48" s="6" t="s">
        <v>125</v>
      </c>
    </row>
    <row customHeight="true" ht="27" r="49">
      <c r="A49" s="8" t="s">
        <v>122</v>
      </c>
      <c r="B49" s="8" t="s">
        <v>126</v>
      </c>
      <c r="C49" s="9">
        <v>5</v>
      </c>
      <c r="D49" s="8" t="s">
        <v>106</v>
      </c>
      <c r="E49" s="8" t="s">
        <v>124</v>
      </c>
      <c r="F49" s="8" t="s">
        <v>127</v>
      </c>
    </row>
    <row customHeight="true" ht="42" r="50">
      <c r="A50" s="6" t="s">
        <v>122</v>
      </c>
      <c r="B50" s="6" t="s">
        <v>128</v>
      </c>
      <c r="C50" s="7">
        <v>3</v>
      </c>
      <c r="D50" s="6" t="s">
        <v>129</v>
      </c>
      <c r="E50" s="6" t="s">
        <v>124</v>
      </c>
      <c r="F50" s="6" t="s">
        <v>130</v>
      </c>
    </row>
    <row customHeight="true" ht="27" r="51">
      <c r="A51" s="8" t="s">
        <v>122</v>
      </c>
      <c r="B51" s="8" t="s">
        <v>131</v>
      </c>
      <c r="C51" s="9">
        <v>12</v>
      </c>
      <c r="D51" s="8" t="s">
        <v>132</v>
      </c>
      <c r="E51" s="8" t="s">
        <v>124</v>
      </c>
      <c r="F51" s="8" t="s">
        <v>133</v>
      </c>
    </row>
    <row customHeight="true" ht="42" r="52">
      <c r="A52" s="6" t="s">
        <v>122</v>
      </c>
      <c r="B52" s="6" t="s">
        <v>134</v>
      </c>
      <c r="C52" s="7">
        <v>5</v>
      </c>
      <c r="D52" s="6" t="s">
        <v>135</v>
      </c>
      <c r="E52" s="6" t="s">
        <v>124</v>
      </c>
      <c r="F52" s="6" t="s">
        <v>136</v>
      </c>
    </row>
    <row customHeight="true" ht="27" r="53">
      <c r="A53" s="8" t="s">
        <v>28</v>
      </c>
      <c r="B53" s="8" t="s">
        <v>137</v>
      </c>
      <c r="C53" s="11">
        <v>1</v>
      </c>
      <c r="D53" s="8" t="s">
        <v>30</v>
      </c>
      <c r="E53" s="8" t="s">
        <v>138</v>
      </c>
      <c r="F53" s="8" t="s">
        <v>139</v>
      </c>
    </row>
    <row customHeight="true" ht="27" r="54">
      <c r="A54" s="6" t="s">
        <v>28</v>
      </c>
      <c r="B54" s="6" t="s">
        <v>140</v>
      </c>
      <c r="C54" s="10">
        <v>0.5</v>
      </c>
      <c r="D54" s="6" t="s">
        <v>30</v>
      </c>
      <c r="E54" s="6" t="s">
        <v>138</v>
      </c>
      <c r="F54" s="6" t="s">
        <v>141</v>
      </c>
    </row>
    <row customHeight="true" ht="42" r="55">
      <c r="A55" s="8" t="s">
        <v>28</v>
      </c>
      <c r="B55" s="8" t="s">
        <v>142</v>
      </c>
      <c r="C55" s="12">
        <v>0</v>
      </c>
      <c r="D55" s="8" t="s">
        <v>30</v>
      </c>
      <c r="E55" s="8" t="s">
        <v>18</v>
      </c>
      <c r="F55" s="8" t="s">
        <v>143</v>
      </c>
    </row>
    <row customHeight="true" ht="42" r="56">
      <c r="A56" s="6" t="s">
        <v>144</v>
      </c>
      <c r="B56" s="6" t="s">
        <v>145</v>
      </c>
      <c r="C56" s="13" t="s">
        <v>146</v>
      </c>
      <c r="D56" s="6" t="s">
        <v>147</v>
      </c>
      <c r="E56" s="6" t="s">
        <v>18</v>
      </c>
      <c r="F56" s="6" t="s">
        <v>148</v>
      </c>
    </row>
    <row customHeight="true" ht="42" r="57">
      <c r="A57" s="8" t="s">
        <v>149</v>
      </c>
      <c r="B57" s="8" t="s">
        <v>150</v>
      </c>
      <c r="C57" s="12">
        <v>0</v>
      </c>
      <c r="D57" s="8" t="s">
        <v>151</v>
      </c>
      <c r="E57" s="8" t="s">
        <v>18</v>
      </c>
      <c r="F57" s="8" t="s">
        <v>152</v>
      </c>
    </row>
    <row customHeight="true" ht="42" r="58">
      <c r="A58" s="6" t="s">
        <v>153</v>
      </c>
      <c r="B58" s="6" t="s">
        <v>154</v>
      </c>
      <c r="C58" s="13">
        <v>1</v>
      </c>
      <c r="D58" s="6" t="s">
        <v>15</v>
      </c>
      <c r="E58" s="6" t="s">
        <v>18</v>
      </c>
      <c r="F58" s="6" t="s">
        <v>155</v>
      </c>
    </row>
    <row customHeight="true" ht="42" r="59">
      <c r="A59" s="8" t="s">
        <v>156</v>
      </c>
      <c r="B59" s="8" t="s">
        <v>157</v>
      </c>
      <c r="C59" s="12">
        <v>1</v>
      </c>
      <c r="D59" s="8" t="s">
        <v>15</v>
      </c>
      <c r="E59" s="8" t="s">
        <v>138</v>
      </c>
      <c r="F59" s="8" t="s">
        <v>158</v>
      </c>
    </row>
    <row customHeight="true" ht="42" r="60">
      <c r="A60" s="6" t="s">
        <v>156</v>
      </c>
      <c r="B60" s="6" t="s">
        <v>159</v>
      </c>
      <c r="C60" s="13">
        <v>0</v>
      </c>
      <c r="D60" s="6" t="s">
        <v>151</v>
      </c>
      <c r="E60" s="6" t="s">
        <v>18</v>
      </c>
      <c r="F60" s="6" t="s">
        <v>160</v>
      </c>
    </row>
    <row customHeight="true" ht="42" r="61">
      <c r="A61" s="8" t="s">
        <v>161</v>
      </c>
      <c r="B61" s="8" t="s">
        <v>162</v>
      </c>
      <c r="C61" s="12">
        <v>0</v>
      </c>
      <c r="D61" s="8" t="s">
        <v>25</v>
      </c>
      <c r="E61" s="8" t="s">
        <v>138</v>
      </c>
      <c r="F61" s="8" t="s">
        <v>163</v>
      </c>
    </row>
    <row customHeight="true" ht="42" r="62">
      <c r="A62" s="6" t="s">
        <v>153</v>
      </c>
      <c r="B62" s="6" t="s">
        <v>164</v>
      </c>
      <c r="C62" s="13">
        <v>1</v>
      </c>
      <c r="D62" s="6" t="s">
        <v>151</v>
      </c>
      <c r="E62" s="6" t="s">
        <v>18</v>
      </c>
      <c r="F62" s="6" t="s">
        <v>165</v>
      </c>
    </row>
    <row customHeight="true" ht="42" r="63">
      <c r="A63" s="8" t="s">
        <v>153</v>
      </c>
      <c r="B63" s="8" t="s">
        <v>166</v>
      </c>
      <c r="C63" s="12">
        <v>1</v>
      </c>
      <c r="D63" s="8" t="s">
        <v>151</v>
      </c>
      <c r="E63" s="8" t="s">
        <v>18</v>
      </c>
      <c r="F63" s="8" t="s">
        <v>167</v>
      </c>
    </row>
    <row customHeight="true" ht="42" r="64">
      <c r="A64" s="6" t="s">
        <v>6</v>
      </c>
      <c r="B64" s="6" t="s">
        <v>168</v>
      </c>
      <c r="C64" s="13">
        <v>1</v>
      </c>
      <c r="D64" s="6" t="s">
        <v>151</v>
      </c>
      <c r="E64" s="6" t="s">
        <v>18</v>
      </c>
      <c r="F64" s="6" t="s">
        <v>169</v>
      </c>
    </row>
    <row customHeight="true" ht="42" r="65">
      <c r="A65" s="8" t="s">
        <v>170</v>
      </c>
      <c r="B65" s="8" t="s">
        <v>171</v>
      </c>
      <c r="C65" s="12">
        <v>0</v>
      </c>
      <c r="D65" s="8" t="s">
        <v>151</v>
      </c>
      <c r="E65" s="8" t="s">
        <v>18</v>
      </c>
      <c r="F65" s="8" t="s">
        <v>172</v>
      </c>
    </row>
    <row customHeight="true" ht="42" r="66">
      <c r="A66" s="8"/>
      <c r="B66" s="8"/>
      <c r="C66" s="12"/>
      <c r="D66" s="8"/>
      <c r="E66" s="8"/>
      <c r="F66" s="8"/>
    </row>
    <row customHeight="true" ht="42" r="67">
      <c r="A67" s="6"/>
      <c r="B67" s="6"/>
      <c r="C67" s="13"/>
      <c r="D67" s="6"/>
      <c r="E67" s="6"/>
      <c r="F67" s="6"/>
    </row>
    <row customHeight="true" ht="42" r="68">
      <c r="A68" s="8"/>
      <c r="B68" s="8"/>
      <c r="C68" s="12"/>
      <c r="D68" s="8"/>
      <c r="E68" s="8"/>
      <c r="F68" s="8"/>
    </row>
  </sheetData>
  <conditionalFormatting sqref="E3:E55">
    <cfRule dxfId="0" operator="containsText" priority="1" stopIfTrue="true" text="待" type="containsText">
      <formula>NOT(ISERROR(SEARCH("待",E3)))</formula>
    </cfRule>
  </conditionalFormatting>
  <pageMargins bottom="0.75" footer="0.3" header="0.3" left="0.7" right="0.7" top="0.75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C3" xSplit="2" ySplit="2"/>
    </sheetView>
  </sheetViews>
  <sheetFormatPr defaultRowHeight="16"/>
  <cols>
    <col collapsed="false" customWidth="true" hidden="false" max="2" min="2" style="0" width="19"/>
    <col collapsed="false" customWidth="true" hidden="false" max="4" min="4" style="0" width="16"/>
    <col collapsed="false" customWidth="true" hidden="false" max="6" min="6" style="0" width="16"/>
    <col collapsed="false" customWidth="true" hidden="false" max="8" min="8" style="0" width="13"/>
    <col collapsed="false" customWidth="true" hidden="false" max="1" min="1" style="0" width="13"/>
    <col collapsed="false" customWidth="true" hidden="false" max="3" min="3" style="0" width="16"/>
    <col collapsed="false" customWidth="true" hidden="false" max="5" min="5" style="0" width="16"/>
    <col collapsed="false" customWidth="true" hidden="false" max="7" min="7" style="0" width="13"/>
    <col collapsed="false" customWidth="true" hidden="false" max="9" min="9" style="0" width="13"/>
  </cols>
  <sheetData>
    <row customHeight="true" ht="31" r="1">
      <c r="A1" s="14" t="s">
        <v>173</v>
      </c>
      <c r="B1" s="15"/>
      <c r="C1" s="15"/>
      <c r="D1" s="15"/>
      <c r="E1" s="15"/>
      <c r="F1" s="15"/>
      <c r="G1" s="15"/>
      <c r="H1" s="15"/>
      <c r="I1" s="15"/>
    </row>
    <row customHeight="true" ht="34" r="2">
      <c r="A2" s="16" t="s">
        <v>174</v>
      </c>
      <c r="B2" s="17" t="s">
        <v>175</v>
      </c>
      <c r="C2" s="17" t="s">
        <v>176</v>
      </c>
      <c r="D2" s="17" t="s">
        <v>177</v>
      </c>
      <c r="E2" s="17" t="s">
        <v>178</v>
      </c>
      <c r="F2" s="17" t="s">
        <v>179</v>
      </c>
      <c r="G2" s="17" t="s">
        <v>180</v>
      </c>
      <c r="H2" s="17" t="s">
        <v>181</v>
      </c>
      <c r="I2" s="18" t="s">
        <v>182</v>
      </c>
    </row>
    <row customHeight="true" ht="27" r="3">
      <c r="A3" s="19" t="s">
        <v>183</v>
      </c>
      <c r="B3" s="19" t="s">
        <v>184</v>
      </c>
      <c r="C3" s="20">
        <v>12</v>
      </c>
      <c r="D3" s="20">
        <v>0</v>
      </c>
      <c r="E3" s="20">
        <v>0</v>
      </c>
      <c r="F3" s="20">
        <v>0</v>
      </c>
      <c r="G3" s="20">
        <v>1</v>
      </c>
      <c r="H3" s="20">
        <v>4</v>
      </c>
      <c r="I3" s="20">
        <v>1</v>
      </c>
    </row>
    <row customHeight="true" ht="27" r="4">
      <c r="A4" s="21" t="s">
        <v>185</v>
      </c>
      <c r="B4" s="21" t="s">
        <v>186</v>
      </c>
      <c r="C4" s="22">
        <v>16</v>
      </c>
      <c r="D4" s="22">
        <v>0</v>
      </c>
      <c r="E4" s="22">
        <v>0</v>
      </c>
      <c r="F4" s="22">
        <v>0</v>
      </c>
      <c r="G4" s="22">
        <v>1</v>
      </c>
      <c r="H4" s="22">
        <v>8</v>
      </c>
      <c r="I4" s="22">
        <v>1</v>
      </c>
    </row>
    <row customHeight="true" ht="27" r="5">
      <c r="A5" s="19" t="s">
        <v>187</v>
      </c>
      <c r="B5" s="19" t="s">
        <v>188</v>
      </c>
      <c r="C5" s="20">
        <v>13</v>
      </c>
      <c r="D5" s="20">
        <v>0</v>
      </c>
      <c r="E5" s="20">
        <v>0</v>
      </c>
      <c r="F5" s="20">
        <v>0</v>
      </c>
      <c r="G5" s="20">
        <v>1</v>
      </c>
      <c r="H5" s="20">
        <v>8</v>
      </c>
      <c r="I5" s="20">
        <v>1</v>
      </c>
    </row>
    <row customHeight="true" ht="27" r="6">
      <c r="A6" s="21" t="s">
        <v>189</v>
      </c>
      <c r="B6" s="21" t="s">
        <v>190</v>
      </c>
      <c r="C6" s="22">
        <v>5</v>
      </c>
      <c r="D6" s="22">
        <v>0</v>
      </c>
      <c r="E6" s="22">
        <v>0</v>
      </c>
      <c r="F6" s="22">
        <v>0</v>
      </c>
      <c r="G6" s="22">
        <v>2</v>
      </c>
      <c r="H6" s="22">
        <v>8</v>
      </c>
      <c r="I6" s="22">
        <v>1</v>
      </c>
    </row>
    <row customHeight="true" ht="27" r="7">
      <c r="A7" s="19" t="s">
        <v>191</v>
      </c>
      <c r="B7" s="19" t="s">
        <v>192</v>
      </c>
      <c r="C7" s="20">
        <v>0</v>
      </c>
      <c r="D7" s="20">
        <v>14</v>
      </c>
      <c r="E7" s="20">
        <v>0</v>
      </c>
      <c r="F7" s="20">
        <v>0</v>
      </c>
      <c r="G7" s="20">
        <v>1</v>
      </c>
      <c r="H7" s="20">
        <v>4</v>
      </c>
      <c r="I7" s="20">
        <v>1</v>
      </c>
    </row>
    <row customHeight="true" ht="27" r="8">
      <c r="A8" s="21" t="s">
        <v>193</v>
      </c>
      <c r="B8" s="21" t="s">
        <v>194</v>
      </c>
      <c r="C8" s="22">
        <v>0</v>
      </c>
      <c r="D8" s="22">
        <v>6</v>
      </c>
      <c r="E8" s="22">
        <v>0</v>
      </c>
      <c r="F8" s="22">
        <v>0</v>
      </c>
      <c r="G8" s="22">
        <v>2</v>
      </c>
      <c r="H8" s="22">
        <v>8</v>
      </c>
      <c r="I8" s="22">
        <v>1</v>
      </c>
    </row>
    <row customHeight="true" ht="27" r="9">
      <c r="A9" s="19" t="s">
        <v>195</v>
      </c>
      <c r="B9" s="19" t="s">
        <v>196</v>
      </c>
      <c r="C9" s="20">
        <v>0</v>
      </c>
      <c r="D9" s="20">
        <v>0</v>
      </c>
      <c r="E9" s="20">
        <v>14</v>
      </c>
      <c r="F9" s="20">
        <v>0</v>
      </c>
      <c r="G9" s="20">
        <v>1</v>
      </c>
      <c r="H9" s="20">
        <v>4</v>
      </c>
      <c r="I9" s="20">
        <v>1</v>
      </c>
    </row>
    <row customHeight="true" ht="27" r="10">
      <c r="A10" s="21" t="s">
        <v>197</v>
      </c>
      <c r="B10" s="21" t="s">
        <v>198</v>
      </c>
      <c r="C10" s="22">
        <v>0</v>
      </c>
      <c r="D10" s="22">
        <v>0</v>
      </c>
      <c r="E10" s="22">
        <v>5</v>
      </c>
      <c r="F10" s="22">
        <v>0</v>
      </c>
      <c r="G10" s="22">
        <v>2</v>
      </c>
      <c r="H10" s="22">
        <v>8</v>
      </c>
      <c r="I10" s="22">
        <v>1</v>
      </c>
    </row>
    <row customHeight="true" ht="27" r="11">
      <c r="A11" s="19" t="s">
        <v>199</v>
      </c>
      <c r="B11" s="19" t="s">
        <v>200</v>
      </c>
      <c r="C11" s="20">
        <v>0</v>
      </c>
      <c r="D11" s="20">
        <v>0</v>
      </c>
      <c r="E11" s="20">
        <v>0</v>
      </c>
      <c r="F11" s="20">
        <v>10</v>
      </c>
      <c r="G11" s="20">
        <v>1</v>
      </c>
      <c r="H11" s="20">
        <v>4</v>
      </c>
      <c r="I11" s="20">
        <v>1</v>
      </c>
    </row>
    <row customHeight="true" ht="27" r="12">
      <c r="A12" s="21" t="s">
        <v>201</v>
      </c>
      <c r="B12" s="21" t="s">
        <v>202</v>
      </c>
      <c r="C12" s="22">
        <v>7</v>
      </c>
      <c r="D12" s="22">
        <v>6</v>
      </c>
      <c r="E12" s="22">
        <v>0</v>
      </c>
      <c r="F12" s="22">
        <v>0</v>
      </c>
      <c r="G12" s="22">
        <v>1</v>
      </c>
      <c r="H12" s="22">
        <v>12</v>
      </c>
      <c r="I12" s="22">
        <v>1</v>
      </c>
    </row>
    <row customHeight="true" ht="27" r="13">
      <c r="A13" s="19" t="s">
        <v>203</v>
      </c>
      <c r="B13" s="19" t="s">
        <v>204</v>
      </c>
      <c r="C13" s="20">
        <v>7</v>
      </c>
      <c r="D13" s="20">
        <v>0</v>
      </c>
      <c r="E13" s="20">
        <v>0</v>
      </c>
      <c r="F13" s="20">
        <v>5</v>
      </c>
      <c r="G13" s="20">
        <v>1</v>
      </c>
      <c r="H13" s="20">
        <v>12</v>
      </c>
      <c r="I13" s="20">
        <v>1</v>
      </c>
    </row>
    <row customHeight="true" ht="27" r="14">
      <c r="A14" s="21" t="s">
        <v>205</v>
      </c>
      <c r="B14" s="21" t="s">
        <v>206</v>
      </c>
      <c r="C14" s="22">
        <v>0</v>
      </c>
      <c r="D14" s="22">
        <v>0</v>
      </c>
      <c r="E14" s="22">
        <v>7</v>
      </c>
      <c r="F14" s="22">
        <v>5</v>
      </c>
      <c r="G14" s="22">
        <v>1</v>
      </c>
      <c r="H14" s="22">
        <v>12</v>
      </c>
      <c r="I14" s="22">
        <v>1</v>
      </c>
    </row>
    <row customHeight="true" ht="25" r="15">
      <c r="A15" s="15"/>
      <c r="B15" s="15"/>
      <c r="C15" s="15"/>
      <c r="D15" s="15"/>
      <c r="E15" s="15"/>
      <c r="F15" s="15"/>
      <c r="G15" s="15"/>
      <c r="H15" s="15"/>
      <c r="I15" s="15"/>
    </row>
    <row customHeight="true" ht="25" r="16">
      <c r="A16" s="15"/>
      <c r="B16" s="15"/>
      <c r="C16" s="15"/>
      <c r="D16" s="15"/>
      <c r="E16" s="15"/>
      <c r="F16" s="15"/>
      <c r="G16" s="15"/>
      <c r="H16" s="15"/>
      <c r="I16" s="15"/>
    </row>
  </sheetData>
  <pageMargins bottom="0.75" footer="0.3" header="0.3" left="0.7" right="0.7" top="0.75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C3" xSplit="2" ySplit="2"/>
    </sheetView>
  </sheetViews>
  <sheetFormatPr defaultRowHeight="16"/>
  <cols>
    <col collapsed="false" customWidth="true" hidden="false" max="4" min="4" style="0" width="19"/>
    <col collapsed="false" customWidth="true" hidden="false" max="6" min="6" style="0" width="16"/>
    <col collapsed="false" customWidth="true" hidden="false" max="8" min="8" style="0" width="19"/>
    <col collapsed="false" customWidth="true" hidden="false" max="2" min="2" style="0" width="19"/>
    <col collapsed="false" customWidth="true" hidden="false" max="3" min="3" style="0" width="16"/>
    <col collapsed="false" customWidth="true" hidden="false" max="5" min="5" style="0" width="32"/>
    <col collapsed="false" customWidth="true" hidden="false" max="7" min="7" style="0" width="42"/>
    <col collapsed="false" customWidth="true" hidden="false" max="1" min="1" style="0" width="13"/>
  </cols>
  <sheetData>
    <row customHeight="true" ht="31" r="1">
      <c r="A1" s="23" t="s">
        <v>207</v>
      </c>
      <c r="B1" s="24"/>
      <c r="C1" s="24"/>
      <c r="D1" s="24"/>
      <c r="E1" s="24"/>
      <c r="F1" s="24"/>
      <c r="G1" s="24"/>
      <c r="H1" s="24"/>
    </row>
    <row customHeight="true" ht="34" r="2">
      <c r="A2" s="25" t="s">
        <v>208</v>
      </c>
      <c r="B2" s="26" t="s">
        <v>209</v>
      </c>
      <c r="C2" s="26" t="s">
        <v>210</v>
      </c>
      <c r="D2" s="26" t="s">
        <v>211</v>
      </c>
      <c r="E2" s="26" t="s">
        <v>212</v>
      </c>
      <c r="F2" s="26" t="s">
        <v>213</v>
      </c>
      <c r="G2" s="26" t="s">
        <v>214</v>
      </c>
      <c r="H2" s="27" t="s">
        <v>215</v>
      </c>
    </row>
    <row customHeight="true" ht="27" r="3">
      <c r="A3" s="28" t="s">
        <v>216</v>
      </c>
      <c r="B3" s="28" t="s">
        <v>217</v>
      </c>
      <c r="C3" s="28" t="s">
        <v>218</v>
      </c>
      <c r="D3" s="28" t="s">
        <v>219</v>
      </c>
      <c r="E3" s="28" t="s">
        <v>220</v>
      </c>
      <c r="F3" s="29">
        <v>2</v>
      </c>
      <c r="G3" s="28" t="s">
        <v>221</v>
      </c>
      <c r="H3" s="28" t="s">
        <v>222</v>
      </c>
    </row>
    <row customHeight="true" ht="54" r="4">
      <c r="A4" s="30" t="s">
        <v>223</v>
      </c>
      <c r="B4" s="30" t="s">
        <v>224</v>
      </c>
      <c r="C4" s="30" t="s">
        <v>225</v>
      </c>
      <c r="D4" s="30" t="s">
        <v>219</v>
      </c>
      <c r="E4" s="30" t="s">
        <v>226</v>
      </c>
      <c r="F4" s="31">
        <v>3</v>
      </c>
      <c r="G4" s="30" t="s">
        <v>227</v>
      </c>
      <c r="H4" s="30" t="s">
        <v>228</v>
      </c>
    </row>
    <row customHeight="true" ht="27" r="5">
      <c r="A5" s="28" t="s">
        <v>229</v>
      </c>
      <c r="B5" s="28" t="s">
        <v>230</v>
      </c>
      <c r="C5" s="28" t="s">
        <v>231</v>
      </c>
      <c r="D5" s="28" t="s">
        <v>219</v>
      </c>
      <c r="E5" s="28" t="s">
        <v>232</v>
      </c>
      <c r="F5" s="29">
        <v>2</v>
      </c>
      <c r="G5" s="28" t="s">
        <v>233</v>
      </c>
      <c r="H5" s="28" t="s">
        <v>228</v>
      </c>
    </row>
    <row customHeight="true" ht="27" r="6">
      <c r="A6" s="30" t="s">
        <v>234</v>
      </c>
      <c r="B6" s="30" t="s">
        <v>235</v>
      </c>
      <c r="C6" s="30" t="s">
        <v>236</v>
      </c>
      <c r="D6" s="30" t="s">
        <v>219</v>
      </c>
      <c r="E6" s="30" t="s">
        <v>237</v>
      </c>
      <c r="F6" s="31">
        <v>3</v>
      </c>
      <c r="G6" s="30" t="s">
        <v>238</v>
      </c>
      <c r="H6" s="30" t="s">
        <v>228</v>
      </c>
    </row>
    <row customHeight="true" ht="27" r="7">
      <c r="A7" s="28" t="s">
        <v>239</v>
      </c>
      <c r="B7" s="28" t="s">
        <v>240</v>
      </c>
      <c r="C7" s="28" t="s">
        <v>241</v>
      </c>
      <c r="D7" s="28" t="s">
        <v>242</v>
      </c>
      <c r="E7" s="28" t="s">
        <v>243</v>
      </c>
      <c r="F7" s="29">
        <v>2</v>
      </c>
      <c r="G7" s="28" t="s">
        <v>244</v>
      </c>
      <c r="H7" s="28" t="s">
        <v>222</v>
      </c>
    </row>
    <row customHeight="true" ht="27" r="8">
      <c r="A8" s="30" t="s">
        <v>245</v>
      </c>
      <c r="B8" s="30" t="s">
        <v>246</v>
      </c>
      <c r="C8" s="30" t="s">
        <v>247</v>
      </c>
      <c r="D8" s="30" t="s">
        <v>219</v>
      </c>
      <c r="E8" s="30" t="s">
        <v>248</v>
      </c>
      <c r="F8" s="31">
        <v>3</v>
      </c>
      <c r="G8" s="30" t="s">
        <v>249</v>
      </c>
      <c r="H8" s="30" t="s">
        <v>228</v>
      </c>
    </row>
    <row customHeight="true" ht="54" r="9">
      <c r="A9" s="28" t="s">
        <v>250</v>
      </c>
      <c r="B9" s="28" t="s">
        <v>251</v>
      </c>
      <c r="C9" s="28" t="s">
        <v>252</v>
      </c>
      <c r="D9" s="28" t="s">
        <v>219</v>
      </c>
      <c r="E9" s="28" t="s">
        <v>253</v>
      </c>
      <c r="F9" s="29">
        <v>2</v>
      </c>
      <c r="G9" s="28" t="s">
        <v>254</v>
      </c>
      <c r="H9" s="28" t="s">
        <v>222</v>
      </c>
    </row>
    <row customHeight="true" ht="54" r="10">
      <c r="A10" s="30" t="s">
        <v>255</v>
      </c>
      <c r="B10" s="30" t="s">
        <v>256</v>
      </c>
      <c r="C10" s="30" t="s">
        <v>257</v>
      </c>
      <c r="D10" s="30" t="s">
        <v>219</v>
      </c>
      <c r="E10" s="30" t="s">
        <v>258</v>
      </c>
      <c r="F10" s="31">
        <v>2</v>
      </c>
      <c r="G10" s="30" t="s">
        <v>259</v>
      </c>
      <c r="H10" s="30" t="s">
        <v>228</v>
      </c>
    </row>
    <row customHeight="true" ht="54" r="11">
      <c r="A11" s="28" t="s">
        <v>260</v>
      </c>
      <c r="B11" s="28" t="s">
        <v>261</v>
      </c>
      <c r="C11" s="28" t="s">
        <v>262</v>
      </c>
      <c r="D11" s="28" t="s">
        <v>219</v>
      </c>
      <c r="E11" s="28" t="s">
        <v>263</v>
      </c>
      <c r="F11" s="29">
        <v>2</v>
      </c>
      <c r="G11" s="28" t="s">
        <v>264</v>
      </c>
      <c r="H11" s="28" t="s">
        <v>222</v>
      </c>
    </row>
    <row customHeight="true" ht="27" r="12">
      <c r="A12" s="30" t="s">
        <v>265</v>
      </c>
      <c r="B12" s="30" t="s">
        <v>266</v>
      </c>
      <c r="C12" s="30" t="s">
        <v>267</v>
      </c>
      <c r="D12" s="30" t="s">
        <v>268</v>
      </c>
      <c r="E12" s="30" t="s">
        <v>269</v>
      </c>
      <c r="F12" s="31">
        <v>3</v>
      </c>
      <c r="G12" s="30" t="s">
        <v>270</v>
      </c>
      <c r="H12" s="30" t="s">
        <v>228</v>
      </c>
    </row>
    <row customHeight="true" ht="54" r="13">
      <c r="A13" s="28" t="s">
        <v>271</v>
      </c>
      <c r="B13" s="28" t="s">
        <v>272</v>
      </c>
      <c r="C13" s="28" t="s">
        <v>273</v>
      </c>
      <c r="D13" s="28" t="s">
        <v>219</v>
      </c>
      <c r="E13" s="28" t="s">
        <v>274</v>
      </c>
      <c r="F13" s="29">
        <v>3</v>
      </c>
      <c r="G13" s="28" t="s">
        <v>275</v>
      </c>
      <c r="H13" s="28" t="s">
        <v>228</v>
      </c>
    </row>
    <row customHeight="true" ht="54" r="14">
      <c r="A14" s="30" t="s">
        <v>276</v>
      </c>
      <c r="B14" s="30" t="s">
        <v>277</v>
      </c>
      <c r="C14" s="30" t="s">
        <v>278</v>
      </c>
      <c r="D14" s="30" t="s">
        <v>219</v>
      </c>
      <c r="E14" s="30" t="s">
        <v>279</v>
      </c>
      <c r="F14" s="31">
        <v>3</v>
      </c>
      <c r="G14" s="30" t="s">
        <v>280</v>
      </c>
      <c r="H14" s="30" t="s">
        <v>228</v>
      </c>
    </row>
    <row customHeight="true" ht="25" r="15">
      <c r="A15" s="24"/>
      <c r="B15" s="24"/>
      <c r="C15" s="24"/>
      <c r="D15" s="24"/>
      <c r="E15" s="24"/>
      <c r="F15" s="24"/>
      <c r="G15" s="24"/>
      <c r="H15" s="24"/>
    </row>
    <row customHeight="true" ht="25" r="16">
      <c r="A16" s="24"/>
      <c r="B16" s="24"/>
      <c r="C16" s="24"/>
      <c r="D16" s="24"/>
      <c r="E16" s="24"/>
      <c r="F16" s="24"/>
      <c r="G16" s="24"/>
      <c r="H16" s="24"/>
    </row>
  </sheetData>
  <conditionalFormatting sqref="H3:H14">
    <cfRule dxfId="1" operator="containsText" priority="1" stopIfTrue="true" text="待" type="containsText">
      <formula>NOT(ISERROR(SEARCH("待",H3)))</formula>
    </cfRule>
  </conditionalFormatting>
  <pageMargins bottom="0.75" footer="0.3" header="0.3" left="0.7" right="0.7" top="0.75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C3" xSplit="2" ySplit="2"/>
    </sheetView>
  </sheetViews>
  <sheetFormatPr defaultRowHeight="16"/>
  <cols>
    <col collapsed="false" customWidth="true" hidden="false" max="2" min="2" style="0" width="12.67605633802817"/>
    <col collapsed="false" customWidth="true" hidden="false" max="4" min="4" style="0" width="32"/>
    <col collapsed="false" customWidth="true" hidden="false" max="6" min="6" style="0" width="13.014084507042254"/>
    <col collapsed="false" customWidth="true" hidden="false" max="8" min="8" style="0" width="13"/>
    <col collapsed="false" customWidth="true" hidden="false" max="10" min="10" style="0" width="11.774647887323944"/>
    <col collapsed="false" customWidth="true" hidden="false" max="1" min="1" style="0" width="13"/>
    <col collapsed="false" customWidth="true" hidden="false" max="3" min="3" style="0" width="12.67605633802817"/>
    <col collapsed="false" customWidth="true" hidden="false" max="5" min="5" style="0" width="16"/>
    <col collapsed="false" customWidth="true" hidden="false" max="7" min="7" style="0" width="9.52112676056338"/>
    <col collapsed="false" customWidth="true" hidden="false" max="9" min="9" style="0" width="9.52112676056338"/>
    <col collapsed="false" customWidth="true" hidden="false" max="11" min="11" style="0" width="7.71830985915493"/>
  </cols>
  <sheetData>
    <row customHeight="true" ht="31" r="1">
      <c r="A1" s="32" t="s">
        <v>281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customHeight="true" ht="34" r="2">
      <c r="A2" s="35" t="s">
        <v>282</v>
      </c>
      <c r="B2" s="36" t="s">
        <v>281</v>
      </c>
      <c r="C2" s="36" t="s">
        <v>283</v>
      </c>
      <c r="D2" s="36" t="s">
        <v>284</v>
      </c>
      <c r="E2" s="36" t="s">
        <v>285</v>
      </c>
      <c r="F2" s="36" t="s">
        <v>286</v>
      </c>
      <c r="G2" s="36" t="s">
        <v>287</v>
      </c>
      <c r="H2" s="36" t="s">
        <v>288</v>
      </c>
      <c r="I2" s="36" t="s">
        <v>289</v>
      </c>
      <c r="J2" s="36" t="s">
        <v>290</v>
      </c>
      <c r="K2" s="37" t="s">
        <v>291</v>
      </c>
    </row>
    <row customHeight="true" ht="54" r="3">
      <c r="A3" s="38" t="s">
        <v>292</v>
      </c>
      <c r="B3" s="38" t="s">
        <v>293</v>
      </c>
      <c r="C3" s="38" t="s">
        <v>294</v>
      </c>
      <c r="D3" s="38" t="s">
        <v>295</v>
      </c>
      <c r="E3" s="39">
        <v>15</v>
      </c>
      <c r="F3" s="38"/>
      <c r="G3" s="39"/>
      <c r="H3" s="39">
        <v>2</v>
      </c>
      <c r="I3" s="39">
        <v>1</v>
      </c>
      <c r="J3" s="38" t="s">
        <v>296</v>
      </c>
      <c r="K3" s="39">
        <v>1</v>
      </c>
    </row>
    <row customHeight="true" ht="54" r="4">
      <c r="A4" s="40" t="s">
        <v>297</v>
      </c>
      <c r="B4" s="40" t="s">
        <v>298</v>
      </c>
      <c r="C4" s="40" t="s">
        <v>294</v>
      </c>
      <c r="D4" s="40" t="s">
        <v>299</v>
      </c>
      <c r="E4" s="41"/>
      <c r="F4" s="40"/>
      <c r="G4" s="41"/>
      <c r="H4" s="41">
        <v>6</v>
      </c>
      <c r="I4" s="41">
        <v>1</v>
      </c>
      <c r="J4" s="40" t="s">
        <v>300</v>
      </c>
      <c r="K4" s="41">
        <v>1</v>
      </c>
    </row>
    <row customHeight="true" ht="27" r="5">
      <c r="A5" s="38" t="s">
        <v>301</v>
      </c>
      <c r="B5" s="38" t="s">
        <v>302</v>
      </c>
      <c r="C5" s="38" t="s">
        <v>303</v>
      </c>
      <c r="D5" s="38" t="s">
        <v>304</v>
      </c>
      <c r="E5" s="39"/>
      <c r="F5" s="38" t="s">
        <v>305</v>
      </c>
      <c r="G5" s="39">
        <v>3</v>
      </c>
      <c r="H5" s="39">
        <v>3</v>
      </c>
      <c r="I5" s="39">
        <v>1</v>
      </c>
      <c r="J5" s="38" t="s">
        <v>296</v>
      </c>
      <c r="K5" s="39">
        <v>1</v>
      </c>
    </row>
    <row customHeight="true" ht="27" r="6">
      <c r="A6" s="40" t="s">
        <v>306</v>
      </c>
      <c r="B6" s="40" t="s">
        <v>307</v>
      </c>
      <c r="C6" s="40" t="s">
        <v>303</v>
      </c>
      <c r="D6" s="40" t="s">
        <v>304</v>
      </c>
      <c r="E6" s="41"/>
      <c r="F6" s="40" t="s">
        <v>308</v>
      </c>
      <c r="G6" s="41">
        <v>2</v>
      </c>
      <c r="H6" s="41">
        <v>3</v>
      </c>
      <c r="I6" s="41">
        <v>1</v>
      </c>
      <c r="J6" s="40" t="s">
        <v>296</v>
      </c>
      <c r="K6" s="41">
        <v>1</v>
      </c>
    </row>
    <row customHeight="true" ht="27" r="7">
      <c r="A7" s="38" t="s">
        <v>309</v>
      </c>
      <c r="B7" s="38" t="s">
        <v>310</v>
      </c>
      <c r="C7" s="38" t="s">
        <v>303</v>
      </c>
      <c r="D7" s="38" t="s">
        <v>304</v>
      </c>
      <c r="E7" s="39"/>
      <c r="F7" s="38" t="s">
        <v>311</v>
      </c>
      <c r="G7" s="39">
        <v>2</v>
      </c>
      <c r="H7" s="39">
        <v>2</v>
      </c>
      <c r="I7" s="39">
        <v>1</v>
      </c>
      <c r="J7" s="38" t="s">
        <v>296</v>
      </c>
      <c r="K7" s="39">
        <v>1</v>
      </c>
    </row>
    <row customHeight="true" ht="70" r="8">
      <c r="A8" s="40" t="s">
        <v>312</v>
      </c>
      <c r="B8" s="40" t="s">
        <v>313</v>
      </c>
      <c r="C8" s="40" t="s">
        <v>303</v>
      </c>
      <c r="D8" s="40" t="s">
        <v>314</v>
      </c>
      <c r="E8" s="41"/>
      <c r="F8" s="40"/>
      <c r="G8" s="41"/>
      <c r="H8" s="41"/>
      <c r="I8" s="41"/>
      <c r="J8" s="40" t="s">
        <v>300</v>
      </c>
      <c r="K8" s="41"/>
    </row>
    <row customHeight="true" ht="25" r="9">
      <c r="A9" s="33"/>
      <c r="B9" s="33"/>
      <c r="C9" s="33"/>
      <c r="D9" s="33"/>
      <c r="E9" s="33"/>
      <c r="F9" s="33"/>
      <c r="G9" s="33"/>
      <c r="H9" s="33"/>
      <c r="I9" s="33"/>
      <c r="J9" s="33"/>
    </row>
    <row customHeight="true" ht="25" r="10">
      <c r="A10" s="33"/>
      <c r="B10" s="33"/>
      <c r="C10" s="33"/>
      <c r="D10" s="33"/>
      <c r="E10" s="33"/>
      <c r="F10" s="33"/>
      <c r="G10" s="33"/>
      <c r="H10" s="33"/>
      <c r="I10" s="33"/>
      <c r="J10" s="33"/>
    </row>
  </sheetData>
  <conditionalFormatting sqref="J3:J8">
    <cfRule dxfId="2" operator="containsText" priority="1" stopIfTrue="true" text="待" type="containsText">
      <formula>NOT(ISERROR(SEARCH("待",J3)))</formula>
    </cfRule>
  </conditionalFormatting>
  <pageMargins bottom="0.75" footer="0.3" header="0.3" left="0.7" right="0.7" top="0.75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C3" xSplit="2" ySplit="2"/>
    </sheetView>
  </sheetViews>
  <sheetFormatPr defaultRowHeight="16"/>
  <cols>
    <col collapsed="false" customWidth="true" hidden="false" max="1" min="1" style="0" width="19"/>
    <col collapsed="false" customWidth="true" hidden="false" max="3" min="3" style="0" width="19"/>
    <col collapsed="false" customWidth="true" hidden="false" max="5" min="5" style="0" width="17"/>
    <col collapsed="false" customWidth="true" hidden="false" max="7" min="7" style="0" width="32"/>
    <col collapsed="false" customWidth="true" hidden="false" max="9" min="9" style="0" width="19"/>
    <col collapsed="false" customWidth="true" hidden="false" max="2" min="2" style="0" width="19"/>
    <col collapsed="false" customWidth="true" hidden="false" max="4" min="4" style="0" width="16"/>
    <col collapsed="false" customWidth="true" hidden="false" max="6" min="6" style="0" width="16"/>
    <col collapsed="false" customWidth="true" hidden="false" max="8" min="8" style="0" width="32"/>
    <col collapsed="false" customWidth="true" hidden="false" max="10" min="10" style="0" width="45"/>
  </cols>
  <sheetData>
    <row customHeight="true" ht="31" r="1">
      <c r="A1" s="42" t="s">
        <v>315</v>
      </c>
      <c r="B1" s="43"/>
      <c r="C1" s="43"/>
      <c r="D1" s="43"/>
      <c r="E1" s="43"/>
      <c r="F1" s="43"/>
      <c r="G1" s="43"/>
      <c r="H1" s="43"/>
      <c r="I1" s="43"/>
      <c r="J1" s="43"/>
    </row>
    <row customHeight="true" ht="34" r="2">
      <c r="A2" s="44" t="s">
        <v>316</v>
      </c>
      <c r="B2" s="45" t="s">
        <v>317</v>
      </c>
      <c r="C2" s="45" t="s">
        <v>318</v>
      </c>
      <c r="D2" s="45" t="s">
        <v>319</v>
      </c>
      <c r="E2" s="45" t="s">
        <v>320</v>
      </c>
      <c r="F2" s="45" t="s">
        <v>321</v>
      </c>
      <c r="G2" s="45" t="s">
        <v>322</v>
      </c>
      <c r="H2" s="45" t="s">
        <v>323</v>
      </c>
      <c r="I2" s="45" t="s">
        <v>324</v>
      </c>
      <c r="J2" s="46" t="s">
        <v>325</v>
      </c>
    </row>
    <row customHeight="true" ht="54" r="3">
      <c r="A3" s="47" t="s">
        <v>326</v>
      </c>
      <c r="B3" s="47" t="s">
        <v>327</v>
      </c>
      <c r="C3" s="47" t="s">
        <v>328</v>
      </c>
      <c r="D3" s="48">
        <v>3</v>
      </c>
      <c r="E3" s="49"/>
      <c r="F3" s="48">
        <v>1</v>
      </c>
      <c r="G3" s="47" t="s">
        <v>329</v>
      </c>
      <c r="H3" s="47" t="s">
        <v>330</v>
      </c>
      <c r="I3" s="47" t="s">
        <v>331</v>
      </c>
      <c r="J3" s="47" t="s">
        <v>332</v>
      </c>
    </row>
    <row customHeight="true" ht="42" r="4">
      <c r="A4" s="50" t="s">
        <v>333</v>
      </c>
      <c r="B4" s="50" t="s">
        <v>327</v>
      </c>
      <c r="C4" s="50" t="s">
        <v>334</v>
      </c>
      <c r="D4" s="51">
        <v>3</v>
      </c>
      <c r="E4" s="52"/>
      <c r="F4" s="51">
        <v>1</v>
      </c>
      <c r="G4" s="50" t="s">
        <v>335</v>
      </c>
      <c r="H4" s="50" t="s">
        <v>336</v>
      </c>
      <c r="I4" s="50" t="s">
        <v>331</v>
      </c>
      <c r="J4" s="50" t="s">
        <v>337</v>
      </c>
    </row>
    <row customHeight="true" ht="27" r="5">
      <c r="A5" s="47" t="s">
        <v>338</v>
      </c>
      <c r="B5" s="47" t="s">
        <v>327</v>
      </c>
      <c r="C5" s="47" t="s">
        <v>339</v>
      </c>
      <c r="D5" s="48">
        <v>3</v>
      </c>
      <c r="E5" s="49"/>
      <c r="F5" s="48">
        <v>1</v>
      </c>
      <c r="G5" s="47" t="s">
        <v>340</v>
      </c>
      <c r="H5" s="47" t="s">
        <v>341</v>
      </c>
      <c r="I5" s="47" t="s">
        <v>331</v>
      </c>
      <c r="J5" s="47" t="s">
        <v>337</v>
      </c>
    </row>
    <row customHeight="true" ht="27" r="6">
      <c r="A6" s="50" t="s">
        <v>342</v>
      </c>
      <c r="B6" s="50" t="s">
        <v>343</v>
      </c>
      <c r="C6" s="50" t="s">
        <v>328</v>
      </c>
      <c r="D6" s="51">
        <v>3</v>
      </c>
      <c r="E6" s="52"/>
      <c r="F6" s="51">
        <v>1</v>
      </c>
      <c r="G6" s="50" t="s">
        <v>344</v>
      </c>
      <c r="H6" s="50" t="s">
        <v>345</v>
      </c>
      <c r="I6" s="50" t="s">
        <v>346</v>
      </c>
      <c r="J6" s="50" t="s">
        <v>337</v>
      </c>
    </row>
    <row customHeight="true" ht="42" r="7">
      <c r="A7" s="47" t="s">
        <v>347</v>
      </c>
      <c r="B7" s="47" t="s">
        <v>343</v>
      </c>
      <c r="C7" s="47" t="s">
        <v>334</v>
      </c>
      <c r="D7" s="48">
        <v>3</v>
      </c>
      <c r="E7" s="49">
        <v>-0.2</v>
      </c>
      <c r="F7" s="48"/>
      <c r="G7" s="47" t="s">
        <v>348</v>
      </c>
      <c r="H7" s="47" t="s">
        <v>336</v>
      </c>
      <c r="I7" s="47" t="s">
        <v>346</v>
      </c>
      <c r="J7" s="47" t="s">
        <v>337</v>
      </c>
    </row>
    <row customHeight="true" ht="42" r="8">
      <c r="A8" s="50" t="s">
        <v>349</v>
      </c>
      <c r="B8" s="50" t="s">
        <v>343</v>
      </c>
      <c r="C8" s="50" t="s">
        <v>334</v>
      </c>
      <c r="D8" s="51">
        <v>3</v>
      </c>
      <c r="E8" s="52">
        <v>0.2</v>
      </c>
      <c r="F8" s="51"/>
      <c r="G8" s="50" t="s">
        <v>350</v>
      </c>
      <c r="H8" s="50" t="s">
        <v>336</v>
      </c>
      <c r="I8" s="50" t="s">
        <v>346</v>
      </c>
      <c r="J8" s="50" t="s">
        <v>337</v>
      </c>
    </row>
    <row customHeight="true" ht="60" r="9">
      <c r="A9" s="47" t="s">
        <v>351</v>
      </c>
      <c r="B9" s="47" t="s">
        <v>343</v>
      </c>
      <c r="C9" s="47" t="s">
        <v>334</v>
      </c>
      <c r="D9" s="48">
        <v>3</v>
      </c>
      <c r="E9" s="49"/>
      <c r="F9" s="48"/>
      <c r="G9" s="47" t="s">
        <v>352</v>
      </c>
      <c r="H9" s="47" t="s">
        <v>336</v>
      </c>
      <c r="I9" s="47" t="s">
        <v>346</v>
      </c>
      <c r="J9" s="47" t="s">
        <v>353</v>
      </c>
    </row>
    <row customHeight="true" ht="90" r="10">
      <c r="A10" s="50" t="s">
        <v>354</v>
      </c>
      <c r="B10" s="50" t="s">
        <v>343</v>
      </c>
      <c r="C10" s="50" t="s">
        <v>334</v>
      </c>
      <c r="D10" s="51">
        <v>2</v>
      </c>
      <c r="E10" s="52"/>
      <c r="F10" s="51"/>
      <c r="G10" s="50" t="s">
        <v>355</v>
      </c>
      <c r="H10" s="50" t="s">
        <v>336</v>
      </c>
      <c r="I10" s="50" t="s">
        <v>346</v>
      </c>
      <c r="J10" s="50" t="s">
        <v>356</v>
      </c>
    </row>
    <row customHeight="true" ht="90" r="11">
      <c r="A11" s="47" t="s">
        <v>357</v>
      </c>
      <c r="B11" s="47" t="s">
        <v>343</v>
      </c>
      <c r="C11" s="47" t="s">
        <v>334</v>
      </c>
      <c r="D11" s="48">
        <v>3</v>
      </c>
      <c r="E11" s="49">
        <v>0.05</v>
      </c>
      <c r="F11" s="48"/>
      <c r="G11" s="47" t="s">
        <v>358</v>
      </c>
      <c r="H11" s="47" t="s">
        <v>336</v>
      </c>
      <c r="I11" s="47" t="s">
        <v>346</v>
      </c>
      <c r="J11" s="47" t="s">
        <v>359</v>
      </c>
    </row>
    <row customHeight="true" ht="25" r="12">
      <c r="A12" s="43"/>
      <c r="B12" s="43"/>
      <c r="C12" s="43"/>
      <c r="D12" s="43"/>
      <c r="E12" s="43"/>
      <c r="F12" s="43"/>
      <c r="G12" s="43"/>
      <c r="H12" s="43"/>
      <c r="I12" s="43"/>
      <c r="J12" s="43"/>
    </row>
    <row customHeight="true" ht="25" r="13">
      <c r="A13" s="43"/>
      <c r="B13" s="43"/>
      <c r="C13" s="43"/>
      <c r="D13" s="43"/>
      <c r="E13" s="43"/>
      <c r="F13" s="43"/>
      <c r="G13" s="43"/>
      <c r="H13" s="43"/>
      <c r="I13" s="43"/>
      <c r="J13" s="43"/>
    </row>
  </sheetData>
  <pageMargins bottom="0.75" footer="0.3" header="0.3" left="0.7" right="0.7" top="0.75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C3" xSplit="2" ySplit="2"/>
    </sheetView>
  </sheetViews>
  <sheetFormatPr defaultRowHeight="16"/>
  <cols>
    <col collapsed="false" customWidth="true" hidden="false" max="1" min="1" style="0" width="13"/>
    <col collapsed="false" customWidth="true" hidden="false" max="3" min="3" style="0" width="16"/>
    <col collapsed="false" customWidth="true" hidden="false" max="5" min="5" style="0" width="16"/>
    <col collapsed="false" customWidth="true" hidden="false" max="7" min="7" style="0" width="42"/>
    <col collapsed="false" customWidth="true" hidden="false" max="9" min="9" style="0" width="13"/>
    <col collapsed="false" customWidth="true" hidden="false" max="2" min="2" style="0" width="19"/>
    <col collapsed="false" customWidth="true" hidden="false" max="4" min="4" style="0" width="16"/>
    <col collapsed="false" customWidth="true" hidden="false" max="6" min="6" style="0" width="16"/>
    <col collapsed="false" customWidth="true" hidden="false" max="8" min="8" style="0" width="13"/>
  </cols>
  <sheetData>
    <row customHeight="true" ht="31" r="1">
      <c r="A1" s="53" t="s">
        <v>360</v>
      </c>
      <c r="B1" s="54"/>
      <c r="C1" s="54"/>
      <c r="D1" s="54"/>
      <c r="E1" s="54"/>
      <c r="F1" s="54"/>
      <c r="G1" s="54"/>
      <c r="H1" s="54"/>
      <c r="I1" s="54"/>
    </row>
    <row customHeight="true" ht="34" r="2">
      <c r="A2" s="55" t="s">
        <v>361</v>
      </c>
      <c r="B2" s="56" t="s">
        <v>362</v>
      </c>
      <c r="C2" s="56" t="s">
        <v>363</v>
      </c>
      <c r="D2" s="56" t="s">
        <v>364</v>
      </c>
      <c r="E2" s="56" t="s">
        <v>365</v>
      </c>
      <c r="F2" s="56" t="s">
        <v>366</v>
      </c>
      <c r="G2" s="56" t="s">
        <v>367</v>
      </c>
      <c r="H2" s="56" t="s">
        <v>368</v>
      </c>
      <c r="I2" s="57" t="s">
        <v>369</v>
      </c>
    </row>
    <row customHeight="true" ht="27" r="3">
      <c r="A3" s="58" t="s">
        <v>370</v>
      </c>
      <c r="B3" s="58" t="s">
        <v>371</v>
      </c>
      <c r="C3" s="59">
        <v>32</v>
      </c>
      <c r="D3" s="59">
        <v>2</v>
      </c>
      <c r="E3" s="59">
        <v>6</v>
      </c>
      <c r="F3" s="58" t="s">
        <v>372</v>
      </c>
      <c r="G3" s="58" t="s">
        <v>373</v>
      </c>
      <c r="H3" s="59">
        <v>1</v>
      </c>
      <c r="I3" s="59">
        <v>50</v>
      </c>
    </row>
    <row customHeight="true" ht="27" r="4">
      <c r="A4" s="60" t="s">
        <v>374</v>
      </c>
      <c r="B4" s="60" t="s">
        <v>375</v>
      </c>
      <c r="C4" s="61">
        <v>28</v>
      </c>
      <c r="D4" s="61">
        <v>2</v>
      </c>
      <c r="E4" s="61">
        <v>12</v>
      </c>
      <c r="F4" s="60" t="s">
        <v>376</v>
      </c>
      <c r="G4" s="60" t="s">
        <v>377</v>
      </c>
      <c r="H4" s="61">
        <v>1</v>
      </c>
      <c r="I4" s="61">
        <v>30</v>
      </c>
    </row>
    <row customHeight="true" ht="27" r="5">
      <c r="A5" s="58" t="s">
        <v>378</v>
      </c>
      <c r="B5" s="58" t="s">
        <v>379</v>
      </c>
      <c r="C5" s="59">
        <v>46</v>
      </c>
      <c r="D5" s="59">
        <v>3</v>
      </c>
      <c r="E5" s="59">
        <v>4</v>
      </c>
      <c r="F5" s="58" t="s">
        <v>380</v>
      </c>
      <c r="G5" s="58" t="s">
        <v>381</v>
      </c>
      <c r="H5" s="59">
        <v>1</v>
      </c>
      <c r="I5" s="59">
        <v>20</v>
      </c>
    </row>
    <row customHeight="true" ht="25" r="6">
      <c r="A6" s="54"/>
      <c r="B6" s="54"/>
      <c r="C6" s="54"/>
      <c r="D6" s="54"/>
      <c r="E6" s="54"/>
      <c r="F6" s="54"/>
      <c r="G6" s="54"/>
      <c r="H6" s="54"/>
      <c r="I6" s="54"/>
    </row>
    <row customHeight="true" ht="25" r="7">
      <c r="A7" s="54"/>
      <c r="B7" s="54"/>
      <c r="C7" s="54"/>
      <c r="D7" s="54"/>
      <c r="E7" s="54"/>
      <c r="F7" s="54"/>
      <c r="G7" s="54"/>
      <c r="H7" s="54"/>
      <c r="I7" s="54"/>
    </row>
  </sheetData>
  <pageMargins bottom="0.75" footer="0.3" header="0.3" left="0.7" right="0.7" top="0.75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C3" xSplit="2" ySplit="2"/>
    </sheetView>
  </sheetViews>
  <sheetFormatPr defaultRowHeight="16"/>
  <cols>
    <col collapsed="false" customWidth="true" hidden="false" max="2" min="2" style="0" width="13"/>
    <col collapsed="false" customWidth="true" hidden="false" max="4" min="4" style="0" width="16"/>
    <col collapsed="false" customWidth="true" hidden="false" max="6" min="6" style="0" width="16"/>
    <col collapsed="false" customWidth="true" hidden="false" max="8" min="8" style="0" width="13"/>
    <col collapsed="false" customWidth="true" hidden="false" max="10" min="10" style="0" width="19"/>
    <col collapsed="false" customWidth="true" hidden="false" max="1" min="1" style="0" width="19"/>
    <col collapsed="false" customWidth="true" hidden="false" max="3" min="3" style="0" width="16"/>
    <col collapsed="false" customWidth="true" hidden="false" max="5" min="5" style="0" width="16"/>
    <col collapsed="false" customWidth="true" hidden="false" max="7" min="7" style="0" width="42"/>
    <col collapsed="false" customWidth="true" hidden="false" max="9" min="9" style="0" width="17"/>
    <col collapsed="false" customWidth="true" hidden="false" max="11" min="11" style="0" width="45"/>
  </cols>
  <sheetData>
    <row customHeight="true" ht="31" r="1">
      <c r="A1" s="62" t="s">
        <v>382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customHeight="true" ht="34" r="2">
      <c r="A2" s="64" t="s">
        <v>382</v>
      </c>
      <c r="B2" s="65" t="s">
        <v>383</v>
      </c>
      <c r="C2" s="65" t="s">
        <v>384</v>
      </c>
      <c r="D2" s="65" t="s">
        <v>385</v>
      </c>
      <c r="E2" s="65" t="s">
        <v>386</v>
      </c>
      <c r="F2" s="65" t="s">
        <v>387</v>
      </c>
      <c r="G2" s="65" t="s">
        <v>388</v>
      </c>
      <c r="H2" s="65" t="s">
        <v>389</v>
      </c>
      <c r="I2" s="65" t="s">
        <v>390</v>
      </c>
      <c r="J2" s="65" t="s">
        <v>391</v>
      </c>
      <c r="K2" s="66" t="s">
        <v>392</v>
      </c>
    </row>
    <row customHeight="true" ht="42" r="3">
      <c r="A3" s="67" t="s">
        <v>393</v>
      </c>
      <c r="B3" s="68"/>
      <c r="C3" s="68"/>
      <c r="D3" s="68"/>
      <c r="E3" s="68"/>
      <c r="F3" s="67"/>
      <c r="G3" s="67"/>
      <c r="H3" s="68">
        <v>10</v>
      </c>
      <c r="I3" s="69"/>
      <c r="J3" s="67" t="s">
        <v>394</v>
      </c>
      <c r="K3" s="67" t="s">
        <v>395</v>
      </c>
    </row>
    <row customHeight="true" ht="42" r="4">
      <c r="A4" s="70" t="s">
        <v>396</v>
      </c>
      <c r="B4" s="71"/>
      <c r="C4" s="71"/>
      <c r="D4" s="71"/>
      <c r="E4" s="71"/>
      <c r="F4" s="70"/>
      <c r="G4" s="70"/>
      <c r="H4" s="71">
        <v>10</v>
      </c>
      <c r="I4" s="72"/>
      <c r="J4" s="70" t="s">
        <v>394</v>
      </c>
      <c r="K4" s="70" t="s">
        <v>397</v>
      </c>
    </row>
    <row customHeight="true" ht="72" r="5">
      <c r="A5" s="67" t="s">
        <v>398</v>
      </c>
      <c r="B5" s="68"/>
      <c r="C5" s="68"/>
      <c r="D5" s="68"/>
      <c r="E5" s="68"/>
      <c r="F5" s="67"/>
      <c r="G5" s="67"/>
      <c r="H5" s="68"/>
      <c r="I5" s="69"/>
      <c r="J5" s="67" t="s">
        <v>399</v>
      </c>
      <c r="K5" s="67" t="s">
        <v>400</v>
      </c>
    </row>
    <row customHeight="true" ht="57" r="6">
      <c r="A6" s="70"/>
      <c r="B6" s="71"/>
      <c r="C6" s="71"/>
      <c r="D6" s="71"/>
      <c r="E6" s="71"/>
      <c r="F6" s="70"/>
      <c r="G6" s="70"/>
      <c r="H6" s="71"/>
      <c r="I6" s="72"/>
      <c r="J6" s="70"/>
      <c r="K6" s="70"/>
    </row>
    <row customHeight="true" ht="25"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</row>
    <row customHeight="true" ht="25"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</row>
    <row r="9">
      <c r="A9" s="73" t="s">
        <v>401</v>
      </c>
      <c r="B9" s="63"/>
      <c r="C9" s="63"/>
      <c r="D9" s="63"/>
      <c r="E9" s="63"/>
      <c r="F9" s="63"/>
      <c r="G9" s="63"/>
      <c r="H9" s="63"/>
      <c r="I9" s="63"/>
      <c r="J9" s="63"/>
      <c r="K9" s="63"/>
    </row>
    <row r="10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</row>
    <row customHeight="true" ht="36" r="11">
      <c r="A11" s="64" t="s">
        <v>402</v>
      </c>
      <c r="B11" s="65" t="s">
        <v>403</v>
      </c>
      <c r="C11" s="65" t="s">
        <v>404</v>
      </c>
      <c r="D11" s="65" t="s">
        <v>405</v>
      </c>
      <c r="E11" s="65" t="s">
        <v>406</v>
      </c>
      <c r="F11" s="65" t="s">
        <v>407</v>
      </c>
      <c r="G11" s="65" t="s">
        <v>408</v>
      </c>
      <c r="H11" s="65" t="s">
        <v>409</v>
      </c>
      <c r="I11" s="65" t="s">
        <v>410</v>
      </c>
      <c r="J11" s="65" t="s">
        <v>391</v>
      </c>
      <c r="K11" s="66" t="s">
        <v>392</v>
      </c>
    </row>
    <row customHeight="true" ht="62" r="12">
      <c r="A12" s="67" t="s">
        <v>411</v>
      </c>
      <c r="B12" s="68" t="s">
        <v>412</v>
      </c>
      <c r="C12" s="75" t="s">
        <v>413</v>
      </c>
      <c r="D12" s="69">
        <v>-0.1</v>
      </c>
      <c r="E12" s="68" t="s">
        <v>414</v>
      </c>
      <c r="F12" s="67" t="s">
        <v>415</v>
      </c>
      <c r="G12" s="67" t="s">
        <v>416</v>
      </c>
      <c r="H12" s="69">
        <f>'基础状态'!$C$12+D12</f>
      </c>
      <c r="I12" s="69" t="s">
        <v>417</v>
      </c>
      <c r="J12" s="67" t="s">
        <v>418</v>
      </c>
      <c r="K12" s="67" t="s">
        <v>419</v>
      </c>
    </row>
    <row customHeight="true" ht="62" r="13">
      <c r="A13" s="70" t="s">
        <v>413</v>
      </c>
      <c r="B13" s="71" t="s">
        <v>420</v>
      </c>
      <c r="C13" s="76" t="s">
        <v>411</v>
      </c>
      <c r="D13" s="72">
        <v>0.1</v>
      </c>
      <c r="E13" s="71" t="s">
        <v>414</v>
      </c>
      <c r="F13" s="70" t="s">
        <v>415</v>
      </c>
      <c r="G13" s="70" t="s">
        <v>416</v>
      </c>
      <c r="H13" s="72">
        <f>'基础状态'!$C$12+D13</f>
      </c>
      <c r="I13" s="72" t="s">
        <v>417</v>
      </c>
      <c r="J13" s="70" t="s">
        <v>418</v>
      </c>
      <c r="K13" s="70" t="s">
        <v>421</v>
      </c>
    </row>
    <row customHeight="true" ht="62" r="14">
      <c r="A14" s="67" t="s">
        <v>422</v>
      </c>
      <c r="B14" s="68" t="s">
        <v>412</v>
      </c>
      <c r="C14" s="75" t="s">
        <v>423</v>
      </c>
      <c r="D14" s="69">
        <v>-0.15</v>
      </c>
      <c r="E14" s="68" t="s">
        <v>424</v>
      </c>
      <c r="F14" s="67" t="s">
        <v>425</v>
      </c>
      <c r="G14" s="67" t="s">
        <v>416</v>
      </c>
      <c r="H14" s="69">
        <f t="shared" ref="H14:H17" si="0">1+D14</f>
      </c>
      <c r="I14" s="69" t="s">
        <v>426</v>
      </c>
      <c r="J14" s="67" t="s">
        <v>418</v>
      </c>
      <c r="K14" s="67" t="s">
        <v>427</v>
      </c>
    </row>
    <row customHeight="true" ht="62" r="15">
      <c r="A15" s="70" t="s">
        <v>423</v>
      </c>
      <c r="B15" s="71" t="s">
        <v>420</v>
      </c>
      <c r="C15" s="76" t="s">
        <v>422</v>
      </c>
      <c r="D15" s="72">
        <v>0.15</v>
      </c>
      <c r="E15" s="71" t="s">
        <v>424</v>
      </c>
      <c r="F15" s="70" t="s">
        <v>425</v>
      </c>
      <c r="G15" s="70" t="s">
        <v>416</v>
      </c>
      <c r="H15" s="72">
        <f t="shared" si="0"/>
      </c>
      <c r="I15" s="72" t="s">
        <v>426</v>
      </c>
      <c r="J15" s="70" t="s">
        <v>418</v>
      </c>
      <c r="K15" s="70" t="s">
        <v>427</v>
      </c>
    </row>
    <row customHeight="true" ht="62" r="16">
      <c r="A16" s="67" t="s">
        <v>428</v>
      </c>
      <c r="B16" s="68" t="s">
        <v>412</v>
      </c>
      <c r="C16" s="75" t="s">
        <v>429</v>
      </c>
      <c r="D16" s="69">
        <v>-0.15</v>
      </c>
      <c r="E16" s="68" t="s">
        <v>430</v>
      </c>
      <c r="F16" s="67" t="s">
        <v>431</v>
      </c>
      <c r="G16" s="67" t="s">
        <v>432</v>
      </c>
      <c r="H16" s="69">
        <f t="shared" si="0"/>
      </c>
      <c r="I16" s="69" t="s">
        <v>426</v>
      </c>
      <c r="J16" s="67" t="s">
        <v>433</v>
      </c>
      <c r="K16" s="67" t="s">
        <v>434</v>
      </c>
    </row>
    <row customHeight="true" ht="62" r="17">
      <c r="A17" s="70" t="s">
        <v>429</v>
      </c>
      <c r="B17" s="71" t="s">
        <v>420</v>
      </c>
      <c r="C17" s="76" t="s">
        <v>428</v>
      </c>
      <c r="D17" s="72">
        <v>0.15</v>
      </c>
      <c r="E17" s="71" t="s">
        <v>430</v>
      </c>
      <c r="F17" s="70" t="s">
        <v>431</v>
      </c>
      <c r="G17" s="70" t="s">
        <v>432</v>
      </c>
      <c r="H17" s="72">
        <f t="shared" si="0"/>
      </c>
      <c r="I17" s="72" t="s">
        <v>426</v>
      </c>
      <c r="J17" s="70" t="s">
        <v>433</v>
      </c>
      <c r="K17" s="70" t="s">
        <v>434</v>
      </c>
    </row>
    <row customHeight="true" ht="74" r="18">
      <c r="A18" s="67" t="s">
        <v>435</v>
      </c>
      <c r="B18" s="68" t="s">
        <v>412</v>
      </c>
      <c r="C18" s="75" t="s">
        <v>436</v>
      </c>
      <c r="D18" s="69">
        <v>-0.2</v>
      </c>
      <c r="E18" s="68" t="s">
        <v>437</v>
      </c>
      <c r="F18" s="67" t="s">
        <v>438</v>
      </c>
      <c r="G18" s="67" t="s">
        <v>439</v>
      </c>
      <c r="H18" s="69">
        <f>MIN('基础状态'!$C$11,'基础状态'!$C$10*(1+D18))</f>
      </c>
      <c r="I18" s="69" t="s">
        <v>440</v>
      </c>
      <c r="J18" s="67" t="s">
        <v>433</v>
      </c>
      <c r="K18" s="67" t="s">
        <v>441</v>
      </c>
    </row>
    <row customHeight="true" ht="74" r="19">
      <c r="A19" s="70" t="s">
        <v>436</v>
      </c>
      <c r="B19" s="71" t="s">
        <v>420</v>
      </c>
      <c r="C19" s="76" t="s">
        <v>435</v>
      </c>
      <c r="D19" s="72">
        <v>0.2</v>
      </c>
      <c r="E19" s="71" t="s">
        <v>437</v>
      </c>
      <c r="F19" s="70" t="s">
        <v>438</v>
      </c>
      <c r="G19" s="70" t="s">
        <v>439</v>
      </c>
      <c r="H19" s="72">
        <f>MIN('基础状态'!$C$11,'基础状态'!$C$10*(1+D19))</f>
      </c>
      <c r="I19" s="72" t="s">
        <v>440</v>
      </c>
      <c r="J19" s="70" t="s">
        <v>433</v>
      </c>
      <c r="K19" s="70" t="s">
        <v>441</v>
      </c>
    </row>
  </sheetData>
  <conditionalFormatting sqref="J3:J6">
    <cfRule dxfId="3" operator="containsText" priority="1" stopIfTrue="true" text="待" type="containsText">
      <formula>NOT(ISERROR(SEARCH("待",J3)))</formula>
    </cfRule>
  </conditionalFormatting>
  <pageMargins bottom="0.75" footer="0.3" header="0.3" left="0.7" right="0.7" top="0.75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C3" xSplit="2" ySplit="2"/>
    </sheetView>
  </sheetViews>
  <sheetFormatPr defaultRowHeight="16"/>
  <cols>
    <col collapsed="false" customWidth="true" hidden="false" max="2" min="2" style="0" width="16"/>
    <col collapsed="false" customWidth="true" hidden="false" max="3" min="3" style="0" width="16"/>
    <col collapsed="false" customWidth="true" hidden="false" max="4" min="4" style="0" width="32"/>
    <col collapsed="false" customWidth="true" hidden="false" max="5" min="5" style="0" width="32"/>
    <col collapsed="false" customWidth="true" hidden="false" max="6" min="6" style="0" width="19"/>
    <col collapsed="false" customWidth="true" hidden="false" max="7" min="7" style="0" width="45"/>
    <col collapsed="false" customWidth="true" hidden="false" max="1" min="1" style="0" width="19"/>
  </cols>
  <sheetData>
    <row customHeight="true" ht="31" r="1">
      <c r="A1" s="77" t="s">
        <v>442</v>
      </c>
      <c r="B1" s="78"/>
      <c r="C1" s="78"/>
      <c r="D1" s="78"/>
      <c r="E1" s="78"/>
      <c r="F1" s="78"/>
      <c r="G1" s="78"/>
    </row>
    <row customHeight="true" ht="34" r="2">
      <c r="A2" s="79" t="s">
        <v>443</v>
      </c>
      <c r="B2" s="80" t="s">
        <v>444</v>
      </c>
      <c r="C2" s="80" t="s">
        <v>445</v>
      </c>
      <c r="D2" s="80" t="s">
        <v>446</v>
      </c>
      <c r="E2" s="80" t="s">
        <v>447</v>
      </c>
      <c r="F2" s="80" t="s">
        <v>448</v>
      </c>
      <c r="G2" s="81" t="s">
        <v>449</v>
      </c>
    </row>
    <row customHeight="true" ht="42" r="3">
      <c r="A3" s="82" t="s">
        <v>450</v>
      </c>
      <c r="B3" s="83">
        <v>1</v>
      </c>
      <c r="C3" s="83">
        <v>1</v>
      </c>
      <c r="D3" s="82" t="s">
        <v>451</v>
      </c>
      <c r="E3" s="82" t="s">
        <v>452</v>
      </c>
      <c r="F3" s="82" t="s">
        <v>453</v>
      </c>
      <c r="G3" s="82" t="s">
        <v>454</v>
      </c>
    </row>
    <row customHeight="true" ht="42" r="4">
      <c r="A4" s="84" t="s">
        <v>455</v>
      </c>
      <c r="B4" s="85">
        <v>1.1</v>
      </c>
      <c r="C4" s="85">
        <v>1.1</v>
      </c>
      <c r="D4" s="84" t="s">
        <v>456</v>
      </c>
      <c r="E4" s="84" t="s">
        <v>457</v>
      </c>
      <c r="F4" s="84" t="s">
        <v>453</v>
      </c>
      <c r="G4" s="84" t="s">
        <v>454</v>
      </c>
    </row>
    <row customHeight="true" ht="42" r="5">
      <c r="A5" s="82" t="s">
        <v>458</v>
      </c>
      <c r="B5" s="86">
        <v>1.2</v>
      </c>
      <c r="C5" s="86">
        <v>1.15</v>
      </c>
      <c r="D5" s="82" t="s">
        <v>459</v>
      </c>
      <c r="E5" s="82" t="s">
        <v>460</v>
      </c>
      <c r="F5" s="82" t="s">
        <v>453</v>
      </c>
      <c r="G5" s="82" t="s">
        <v>454</v>
      </c>
    </row>
    <row customHeight="true" ht="25" r="6">
      <c r="A6" s="78"/>
      <c r="B6" s="78"/>
      <c r="C6" s="78"/>
      <c r="D6" s="78"/>
      <c r="E6" s="78"/>
      <c r="F6" s="78"/>
      <c r="G6" s="78"/>
    </row>
    <row customHeight="true" ht="25" r="7">
      <c r="A7" s="78"/>
      <c r="B7" s="78"/>
      <c r="C7" s="78"/>
      <c r="D7" s="78"/>
      <c r="E7" s="78"/>
      <c r="F7" s="78"/>
      <c r="G7" s="78"/>
    </row>
  </sheetData>
  <conditionalFormatting sqref="F3:F5">
    <cfRule dxfId="4" operator="containsText" priority="1" stopIfTrue="true" text="待" type="containsText">
      <formula>NOT(ISERROR(SEARCH("待",F3)))</formula>
    </cfRule>
  </conditionalFormatting>
  <pageMargins bottom="0.75" footer="0.3" header="0.3" left="0.7" right="0.7" top="0.75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C3" xSplit="2" ySplit="2"/>
    </sheetView>
  </sheetViews>
  <sheetFormatPr defaultRowHeight="16"/>
  <cols>
    <col collapsed="false" customWidth="true" hidden="false" max="5" min="5" style="0" width="16"/>
    <col collapsed="false" customWidth="true" hidden="false" max="6" min="6" style="0" width="13"/>
    <col collapsed="false" customWidth="true" hidden="false" max="7" min="7" style="0" width="16"/>
    <col collapsed="false" customWidth="true" hidden="false" max="1" min="1" style="0" width="13"/>
    <col collapsed="false" customWidth="true" hidden="false" max="2" min="2" style="0" width="19"/>
    <col collapsed="false" customWidth="true" hidden="false" max="3" min="3" style="0" width="19"/>
    <col collapsed="false" customWidth="true" hidden="false" max="4" min="4" style="0" width="16"/>
  </cols>
  <sheetData>
    <row customHeight="true" ht="31" r="1">
      <c r="A1" s="87" t="s">
        <v>461</v>
      </c>
      <c r="B1" s="88"/>
      <c r="C1" s="88"/>
      <c r="D1" s="88"/>
      <c r="E1" s="88"/>
      <c r="F1" s="88"/>
      <c r="G1" s="88"/>
    </row>
    <row customHeight="true" ht="34" r="2">
      <c r="A2" s="89" t="s">
        <v>462</v>
      </c>
      <c r="B2" s="90" t="s">
        <v>463</v>
      </c>
      <c r="C2" s="90" t="s">
        <v>464</v>
      </c>
      <c r="D2" s="90" t="s">
        <v>465</v>
      </c>
      <c r="E2" s="90" t="s">
        <v>466</v>
      </c>
      <c r="F2" s="90" t="s">
        <v>467</v>
      </c>
      <c r="G2" s="91" t="s">
        <v>468</v>
      </c>
    </row>
    <row customHeight="true" ht="27" r="3">
      <c r="A3" s="92" t="s">
        <v>469</v>
      </c>
      <c r="B3" s="92"/>
      <c r="C3" s="92"/>
      <c r="D3" s="93"/>
      <c r="E3" s="93"/>
      <c r="F3" s="93"/>
      <c r="G3" s="92"/>
    </row>
    <row customHeight="true" ht="27" r="4">
      <c r="A4" s="94" t="s">
        <v>470</v>
      </c>
      <c r="B4" s="94"/>
      <c r="C4" s="94"/>
      <c r="D4" s="95"/>
      <c r="E4" s="95"/>
      <c r="F4" s="95"/>
      <c r="G4" s="94"/>
    </row>
    <row customHeight="true" ht="27" r="5">
      <c r="A5" s="92" t="s">
        <v>471</v>
      </c>
      <c r="B5" s="92"/>
      <c r="C5" s="92"/>
      <c r="D5" s="93"/>
      <c r="E5" s="93"/>
      <c r="F5" s="93"/>
      <c r="G5" s="92"/>
    </row>
    <row customHeight="true" ht="27" r="6">
      <c r="A6" s="94" t="s">
        <v>472</v>
      </c>
      <c r="B6" s="94"/>
      <c r="C6" s="94"/>
      <c r="D6" s="95"/>
      <c r="E6" s="95"/>
      <c r="F6" s="95"/>
      <c r="G6" s="94"/>
    </row>
    <row customHeight="true" ht="27" r="7">
      <c r="A7" s="92" t="s">
        <v>473</v>
      </c>
      <c r="B7" s="92"/>
      <c r="C7" s="92"/>
      <c r="D7" s="93"/>
      <c r="E7" s="93"/>
      <c r="F7" s="93"/>
      <c r="G7" s="92"/>
    </row>
    <row customHeight="true" ht="27" r="8">
      <c r="A8" s="94" t="s">
        <v>474</v>
      </c>
      <c r="B8" s="94"/>
      <c r="C8" s="94"/>
      <c r="D8" s="95"/>
      <c r="E8" s="95"/>
      <c r="F8" s="95"/>
      <c r="G8" s="94"/>
    </row>
    <row customHeight="true" ht="27" r="9">
      <c r="A9" s="92" t="s">
        <v>475</v>
      </c>
      <c r="B9" s="92"/>
      <c r="C9" s="92"/>
      <c r="D9" s="93"/>
      <c r="E9" s="93"/>
      <c r="F9" s="93"/>
      <c r="G9" s="92"/>
    </row>
    <row customHeight="true" ht="27" r="10">
      <c r="A10" s="94" t="s">
        <v>476</v>
      </c>
      <c r="B10" s="94"/>
      <c r="C10" s="94"/>
      <c r="D10" s="95"/>
      <c r="E10" s="95"/>
      <c r="F10" s="95"/>
      <c r="G10" s="94"/>
    </row>
    <row customHeight="true" ht="27" r="11">
      <c r="A11" s="92" t="s">
        <v>477</v>
      </c>
      <c r="B11" s="92"/>
      <c r="C11" s="92"/>
      <c r="D11" s="93"/>
      <c r="E11" s="93"/>
      <c r="F11" s="93"/>
      <c r="G11" s="92"/>
    </row>
    <row customHeight="true" ht="27" r="12">
      <c r="A12" s="94" t="s">
        <v>478</v>
      </c>
      <c r="B12" s="94"/>
      <c r="C12" s="94"/>
      <c r="D12" s="95"/>
      <c r="E12" s="95"/>
      <c r="F12" s="95"/>
      <c r="G12" s="94"/>
    </row>
    <row customHeight="true" ht="27" r="13">
      <c r="A13" s="92" t="s">
        <v>479</v>
      </c>
      <c r="B13" s="92"/>
      <c r="C13" s="92"/>
      <c r="D13" s="93"/>
      <c r="E13" s="93"/>
      <c r="F13" s="93"/>
      <c r="G13" s="92"/>
    </row>
    <row customHeight="true" ht="27" r="14">
      <c r="A14" s="94" t="s">
        <v>480</v>
      </c>
      <c r="B14" s="94"/>
      <c r="C14" s="94"/>
      <c r="D14" s="95"/>
      <c r="E14" s="95"/>
      <c r="F14" s="95"/>
      <c r="G14" s="94"/>
    </row>
    <row customHeight="true" ht="27" r="15">
      <c r="A15" s="92" t="s">
        <v>481</v>
      </c>
      <c r="B15" s="92"/>
      <c r="C15" s="92"/>
      <c r="D15" s="93"/>
      <c r="E15" s="93"/>
      <c r="F15" s="93"/>
      <c r="G15" s="92"/>
    </row>
    <row customHeight="true" ht="27" r="16">
      <c r="A16" s="94" t="s">
        <v>482</v>
      </c>
      <c r="B16" s="94"/>
      <c r="C16" s="94"/>
      <c r="D16" s="95"/>
      <c r="E16" s="95"/>
      <c r="F16" s="95"/>
      <c r="G16" s="94"/>
    </row>
    <row customHeight="true" ht="27" r="17">
      <c r="A17" s="92" t="s">
        <v>483</v>
      </c>
      <c r="B17" s="92"/>
      <c r="C17" s="92"/>
      <c r="D17" s="93"/>
      <c r="E17" s="93"/>
      <c r="F17" s="93"/>
      <c r="G17" s="92"/>
    </row>
    <row customHeight="true" ht="27" r="18">
      <c r="A18" s="94" t="s">
        <v>484</v>
      </c>
      <c r="B18" s="94"/>
      <c r="C18" s="94"/>
      <c r="D18" s="95"/>
      <c r="E18" s="95"/>
      <c r="F18" s="95"/>
      <c r="G18" s="94"/>
    </row>
    <row customHeight="true" ht="27" r="19">
      <c r="A19" s="92" t="s">
        <v>485</v>
      </c>
      <c r="B19" s="92"/>
      <c r="C19" s="92"/>
      <c r="D19" s="93"/>
      <c r="E19" s="93"/>
      <c r="F19" s="93"/>
      <c r="G19" s="92"/>
    </row>
    <row customHeight="true" ht="27" r="20">
      <c r="A20" s="94" t="s">
        <v>486</v>
      </c>
      <c r="B20" s="94"/>
      <c r="C20" s="94"/>
      <c r="D20" s="95"/>
      <c r="E20" s="95"/>
      <c r="F20" s="95"/>
      <c r="G20" s="94"/>
    </row>
    <row customHeight="true" ht="27" r="21">
      <c r="A21" s="92" t="s">
        <v>487</v>
      </c>
      <c r="B21" s="92"/>
      <c r="C21" s="92"/>
      <c r="D21" s="93"/>
      <c r="E21" s="93"/>
      <c r="F21" s="93"/>
      <c r="G21" s="92"/>
    </row>
    <row customHeight="true" ht="27" r="22">
      <c r="A22" s="94" t="s">
        <v>488</v>
      </c>
      <c r="B22" s="94"/>
      <c r="C22" s="94"/>
      <c r="D22" s="95"/>
      <c r="E22" s="95"/>
      <c r="F22" s="95"/>
      <c r="G22" s="94"/>
    </row>
    <row customHeight="true" ht="27" r="23">
      <c r="A23" s="92" t="s">
        <v>489</v>
      </c>
      <c r="B23" s="92"/>
      <c r="C23" s="92"/>
      <c r="D23" s="93"/>
      <c r="E23" s="93"/>
      <c r="F23" s="93"/>
      <c r="G23" s="92"/>
    </row>
    <row customHeight="true" ht="27" r="24">
      <c r="A24" s="94" t="s">
        <v>490</v>
      </c>
      <c r="B24" s="94"/>
      <c r="C24" s="94"/>
      <c r="D24" s="95"/>
      <c r="E24" s="95"/>
      <c r="F24" s="95"/>
      <c r="G24" s="94"/>
    </row>
    <row customHeight="true" ht="27" r="25">
      <c r="A25" s="92" t="s">
        <v>491</v>
      </c>
      <c r="B25" s="92"/>
      <c r="C25" s="92"/>
      <c r="D25" s="93"/>
      <c r="E25" s="93"/>
      <c r="F25" s="93"/>
      <c r="G25" s="92"/>
    </row>
    <row customHeight="true" ht="25" r="26">
      <c r="A26" s="88"/>
      <c r="B26" s="88"/>
      <c r="C26" s="88"/>
      <c r="D26" s="88"/>
      <c r="E26" s="88"/>
      <c r="F26" s="88"/>
      <c r="G26" s="88"/>
    </row>
    <row customHeight="true" ht="25" r="27">
      <c r="A27" s="88"/>
      <c r="B27" s="88"/>
      <c r="C27" s="88"/>
      <c r="D27" s="88"/>
      <c r="E27" s="88"/>
      <c r="F27" s="88"/>
      <c r="G27" s="88"/>
    </row>
  </sheetData>
  <pageMargins bottom="0.75" footer="0.3" header="0.3" left="0.7" right="0.7" top="0.75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C3" xSplit="2" ySplit="2"/>
    </sheetView>
  </sheetViews>
  <sheetFormatPr defaultRowHeight="16"/>
  <cols>
    <col collapsed="false" customWidth="true" hidden="false" max="2" min="2" style="0" width="19"/>
    <col collapsed="false" customWidth="true" hidden="false" max="3" min="3" style="0" width="13"/>
    <col collapsed="false" customWidth="true" hidden="false" max="4" min="4" style="0" width="32"/>
    <col collapsed="false" customWidth="true" hidden="false" max="5" min="5" style="0" width="16"/>
    <col collapsed="false" customWidth="true" hidden="false" max="6" min="6" style="0" width="45"/>
    <col collapsed="false" customWidth="true" hidden="false" max="1" min="1" style="0" width="13"/>
  </cols>
  <sheetData>
    <row customHeight="true" ht="31" r="1">
      <c r="A1" s="96" t="s">
        <v>492</v>
      </c>
      <c r="B1" s="97"/>
      <c r="C1" s="97"/>
      <c r="D1" s="97"/>
      <c r="E1" s="97"/>
      <c r="F1" s="97"/>
    </row>
    <row customHeight="true" ht="34" r="2">
      <c r="A2" s="98" t="s">
        <v>493</v>
      </c>
      <c r="B2" s="99" t="s">
        <v>494</v>
      </c>
      <c r="C2" s="99" t="s">
        <v>495</v>
      </c>
      <c r="D2" s="99" t="s">
        <v>496</v>
      </c>
      <c r="E2" s="99" t="s">
        <v>497</v>
      </c>
      <c r="F2" s="100" t="s">
        <v>498</v>
      </c>
    </row>
    <row customHeight="true" ht="27" r="3">
      <c r="A3" s="101" t="s">
        <v>499</v>
      </c>
      <c r="B3" s="101"/>
      <c r="C3" s="101"/>
      <c r="D3" s="101"/>
      <c r="E3" s="102"/>
      <c r="F3" s="101"/>
    </row>
    <row customHeight="true" ht="42" r="4">
      <c r="A4" s="103" t="s">
        <v>499</v>
      </c>
      <c r="B4" s="103"/>
      <c r="C4" s="103"/>
      <c r="D4" s="103"/>
      <c r="E4" s="104"/>
      <c r="F4" s="103"/>
    </row>
    <row customHeight="true" ht="27" r="5">
      <c r="A5" s="101" t="s">
        <v>500</v>
      </c>
      <c r="B5" s="101"/>
      <c r="C5" s="101"/>
      <c r="D5" s="101"/>
      <c r="E5" s="102"/>
      <c r="F5" s="101"/>
    </row>
    <row customHeight="true" ht="27" r="6">
      <c r="A6" s="103" t="s">
        <v>500</v>
      </c>
      <c r="B6" s="103"/>
      <c r="C6" s="103"/>
      <c r="D6" s="103"/>
      <c r="E6" s="104"/>
      <c r="F6" s="103"/>
    </row>
    <row customHeight="true" ht="27" r="7">
      <c r="A7" s="101" t="s">
        <v>501</v>
      </c>
      <c r="B7" s="101"/>
      <c r="C7" s="101"/>
      <c r="D7" s="101"/>
      <c r="E7" s="102"/>
      <c r="F7" s="101"/>
    </row>
    <row customHeight="true" ht="27" r="8">
      <c r="A8" s="103" t="s">
        <v>501</v>
      </c>
      <c r="B8" s="103"/>
      <c r="C8" s="103"/>
      <c r="D8" s="103"/>
      <c r="E8" s="104"/>
      <c r="F8" s="103"/>
    </row>
    <row customHeight="true" ht="27" r="9">
      <c r="A9" s="101" t="s">
        <v>502</v>
      </c>
      <c r="B9" s="101"/>
      <c r="C9" s="101"/>
      <c r="D9" s="101"/>
      <c r="E9" s="102"/>
      <c r="F9" s="101"/>
    </row>
    <row customHeight="true" ht="42" r="10">
      <c r="A10" s="103" t="s">
        <v>502</v>
      </c>
      <c r="B10" s="103"/>
      <c r="C10" s="103"/>
      <c r="D10" s="103"/>
      <c r="E10" s="104"/>
      <c r="F10" s="103"/>
    </row>
    <row customHeight="true" ht="27" r="11">
      <c r="A11" s="101" t="s">
        <v>503</v>
      </c>
      <c r="B11" s="101"/>
      <c r="C11" s="101"/>
      <c r="D11" s="101"/>
      <c r="E11" s="102"/>
      <c r="F11" s="101"/>
    </row>
    <row customHeight="true" ht="27" r="12">
      <c r="A12" s="103" t="s">
        <v>503</v>
      </c>
      <c r="B12" s="103"/>
      <c r="C12" s="103"/>
      <c r="D12" s="103"/>
      <c r="E12" s="104"/>
      <c r="F12" s="103"/>
    </row>
    <row customHeight="true" ht="27" r="13">
      <c r="A13" s="101" t="s">
        <v>504</v>
      </c>
      <c r="B13" s="101"/>
      <c r="C13" s="101"/>
      <c r="D13" s="101"/>
      <c r="E13" s="102"/>
      <c r="F13" s="101"/>
    </row>
    <row customHeight="true" ht="42" r="14">
      <c r="A14" s="103" t="s">
        <v>504</v>
      </c>
      <c r="B14" s="103"/>
      <c r="C14" s="103"/>
      <c r="D14" s="103"/>
      <c r="E14" s="104"/>
      <c r="F14" s="103"/>
    </row>
    <row customHeight="true" ht="42" r="15">
      <c r="A15" s="101" t="s">
        <v>505</v>
      </c>
      <c r="B15" s="101"/>
      <c r="C15" s="101"/>
      <c r="D15" s="101"/>
      <c r="E15" s="102"/>
      <c r="F15" s="101"/>
    </row>
    <row customHeight="true" ht="27" r="16">
      <c r="A16" s="103" t="s">
        <v>505</v>
      </c>
      <c r="B16" s="103"/>
      <c r="C16" s="103"/>
      <c r="D16" s="103"/>
      <c r="E16" s="104"/>
      <c r="F16" s="103"/>
    </row>
    <row customHeight="true" ht="27" r="17">
      <c r="A17" s="101" t="s">
        <v>506</v>
      </c>
      <c r="B17" s="101"/>
      <c r="C17" s="101"/>
      <c r="D17" s="101"/>
      <c r="E17" s="102"/>
      <c r="F17" s="101"/>
    </row>
    <row customHeight="true" ht="27" r="18">
      <c r="A18" s="103" t="s">
        <v>506</v>
      </c>
      <c r="B18" s="103"/>
      <c r="C18" s="103"/>
      <c r="D18" s="103"/>
      <c r="E18" s="104"/>
      <c r="F18" s="103"/>
    </row>
    <row customHeight="true" ht="27" r="19">
      <c r="A19" s="101" t="s">
        <v>507</v>
      </c>
      <c r="B19" s="101"/>
      <c r="C19" s="101"/>
      <c r="D19" s="101"/>
      <c r="E19" s="102"/>
      <c r="F19" s="101"/>
    </row>
    <row customHeight="true" ht="27" r="20">
      <c r="A20" s="103" t="s">
        <v>507</v>
      </c>
      <c r="B20" s="103"/>
      <c r="C20" s="103"/>
      <c r="D20" s="103"/>
      <c r="E20" s="104"/>
      <c r="F20" s="103"/>
    </row>
    <row customHeight="true" ht="27" r="21">
      <c r="A21" s="101" t="s">
        <v>508</v>
      </c>
      <c r="B21" s="101"/>
      <c r="C21" s="101"/>
      <c r="D21" s="101"/>
      <c r="E21" s="102"/>
      <c r="F21" s="101"/>
    </row>
    <row customHeight="true" ht="27" r="22">
      <c r="A22" s="103" t="s">
        <v>508</v>
      </c>
      <c r="B22" s="103"/>
      <c r="C22" s="103"/>
      <c r="D22" s="103"/>
      <c r="E22" s="104"/>
      <c r="F22" s="103"/>
    </row>
    <row customHeight="true" ht="27" r="23">
      <c r="A23" s="101" t="s">
        <v>509</v>
      </c>
      <c r="B23" s="101"/>
      <c r="C23" s="101"/>
      <c r="D23" s="101"/>
      <c r="E23" s="102"/>
      <c r="F23" s="101"/>
    </row>
    <row customHeight="true" ht="27" r="24">
      <c r="A24" s="103" t="s">
        <v>509</v>
      </c>
      <c r="B24" s="103"/>
      <c r="C24" s="103"/>
      <c r="D24" s="103"/>
      <c r="E24" s="104"/>
      <c r="F24" s="103"/>
    </row>
    <row customHeight="true" ht="27" r="25">
      <c r="A25" s="101" t="s">
        <v>510</v>
      </c>
      <c r="B25" s="101"/>
      <c r="C25" s="101"/>
      <c r="D25" s="101"/>
      <c r="E25" s="102"/>
      <c r="F25" s="101"/>
    </row>
    <row customHeight="true" ht="27" r="26">
      <c r="A26" s="103" t="s">
        <v>510</v>
      </c>
      <c r="B26" s="103"/>
      <c r="C26" s="103"/>
      <c r="D26" s="103"/>
      <c r="E26" s="104"/>
      <c r="F26" s="103"/>
    </row>
    <row customHeight="true" ht="42" r="27">
      <c r="A27" s="101" t="s">
        <v>511</v>
      </c>
      <c r="B27" s="101"/>
      <c r="C27" s="101"/>
      <c r="D27" s="101"/>
      <c r="E27" s="102"/>
      <c r="F27" s="101"/>
    </row>
    <row customHeight="true" ht="42" r="28">
      <c r="A28" s="103" t="s">
        <v>511</v>
      </c>
      <c r="B28" s="103"/>
      <c r="C28" s="103"/>
      <c r="D28" s="103"/>
      <c r="E28" s="104"/>
      <c r="F28" s="103"/>
    </row>
    <row customHeight="true" ht="42" r="29">
      <c r="A29" s="101" t="s">
        <v>511</v>
      </c>
      <c r="B29" s="101"/>
      <c r="C29" s="101"/>
      <c r="D29" s="101"/>
      <c r="E29" s="102"/>
      <c r="F29" s="101"/>
    </row>
    <row customHeight="true" ht="42" r="30">
      <c r="A30" s="103" t="s">
        <v>512</v>
      </c>
      <c r="B30" s="103"/>
      <c r="C30" s="103"/>
      <c r="D30" s="103"/>
      <c r="E30" s="104"/>
      <c r="F30" s="103"/>
    </row>
    <row customHeight="true" ht="42" r="31">
      <c r="A31" s="101" t="s">
        <v>512</v>
      </c>
      <c r="B31" s="101"/>
      <c r="C31" s="101"/>
      <c r="D31" s="101"/>
      <c r="E31" s="102"/>
      <c r="F31" s="101"/>
    </row>
    <row customHeight="true" ht="42" r="32">
      <c r="A32" s="103" t="s">
        <v>513</v>
      </c>
      <c r="B32" s="103"/>
      <c r="C32" s="103"/>
      <c r="D32" s="103"/>
      <c r="E32" s="104"/>
      <c r="F32" s="103"/>
    </row>
    <row customHeight="true" ht="42" r="33">
      <c r="A33" s="101" t="s">
        <v>513</v>
      </c>
      <c r="B33" s="101"/>
      <c r="C33" s="101"/>
      <c r="D33" s="101"/>
      <c r="E33" s="102"/>
      <c r="F33" s="101"/>
    </row>
    <row customHeight="true" ht="42" r="34">
      <c r="A34" s="103" t="s">
        <v>514</v>
      </c>
      <c r="B34" s="103"/>
      <c r="C34" s="103"/>
      <c r="D34" s="103"/>
      <c r="E34" s="104"/>
      <c r="F34" s="103"/>
    </row>
    <row customHeight="true" ht="42" r="35">
      <c r="A35" s="101" t="s">
        <v>514</v>
      </c>
      <c r="B35" s="101"/>
      <c r="C35" s="101"/>
      <c r="D35" s="101"/>
      <c r="E35" s="102"/>
      <c r="F35" s="101"/>
    </row>
    <row customHeight="true" ht="42" r="36">
      <c r="A36" s="103" t="s">
        <v>515</v>
      </c>
      <c r="B36" s="103"/>
      <c r="C36" s="103"/>
      <c r="D36" s="103"/>
      <c r="E36" s="104"/>
      <c r="F36" s="103"/>
    </row>
    <row customHeight="true" ht="42" r="37">
      <c r="A37" s="101" t="s">
        <v>515</v>
      </c>
      <c r="B37" s="101"/>
      <c r="C37" s="101"/>
      <c r="D37" s="101"/>
      <c r="E37" s="102"/>
      <c r="F37" s="101"/>
    </row>
    <row customHeight="true" ht="42" r="38">
      <c r="A38" s="103" t="s">
        <v>516</v>
      </c>
      <c r="B38" s="103"/>
      <c r="C38" s="103"/>
      <c r="D38" s="103"/>
      <c r="E38" s="104"/>
      <c r="F38" s="103"/>
    </row>
    <row customHeight="true" ht="42" r="39">
      <c r="A39" s="101" t="s">
        <v>516</v>
      </c>
      <c r="B39" s="101"/>
      <c r="C39" s="101"/>
      <c r="D39" s="101"/>
      <c r="E39" s="102"/>
      <c r="F39" s="101"/>
    </row>
    <row customHeight="true" ht="42" r="40">
      <c r="A40" s="103" t="s">
        <v>517</v>
      </c>
      <c r="B40" s="103"/>
      <c r="C40" s="103"/>
      <c r="D40" s="103"/>
      <c r="E40" s="104"/>
      <c r="F40" s="103"/>
    </row>
    <row customHeight="true" ht="42" r="41">
      <c r="A41" s="101" t="s">
        <v>517</v>
      </c>
      <c r="B41" s="101"/>
      <c r="C41" s="101"/>
      <c r="D41" s="101"/>
      <c r="E41" s="102"/>
      <c r="F41" s="101"/>
    </row>
    <row customHeight="true" ht="42" r="42">
      <c r="A42" s="103" t="s">
        <v>518</v>
      </c>
      <c r="B42" s="103"/>
      <c r="C42" s="103"/>
      <c r="D42" s="103"/>
      <c r="E42" s="104"/>
      <c r="F42" s="103"/>
    </row>
    <row customHeight="true" ht="42" r="43">
      <c r="A43" s="101" t="s">
        <v>518</v>
      </c>
      <c r="B43" s="101"/>
      <c r="C43" s="101"/>
      <c r="D43" s="101"/>
      <c r="E43" s="102"/>
      <c r="F43" s="101"/>
    </row>
    <row customHeight="true" ht="42" r="44">
      <c r="A44" s="103" t="s">
        <v>519</v>
      </c>
      <c r="B44" s="103"/>
      <c r="C44" s="103"/>
      <c r="D44" s="103"/>
      <c r="E44" s="104"/>
      <c r="F44" s="103"/>
    </row>
    <row customHeight="true" ht="42" r="45">
      <c r="A45" s="101" t="s">
        <v>519</v>
      </c>
      <c r="B45" s="101"/>
      <c r="C45" s="101"/>
      <c r="D45" s="101"/>
      <c r="E45" s="102"/>
      <c r="F45" s="101"/>
    </row>
    <row customHeight="true" ht="42" r="46">
      <c r="A46" s="103" t="s">
        <v>520</v>
      </c>
      <c r="B46" s="103"/>
      <c r="C46" s="103"/>
      <c r="D46" s="103"/>
      <c r="E46" s="104"/>
      <c r="F46" s="103"/>
    </row>
    <row customHeight="true" ht="42" r="47">
      <c r="A47" s="101" t="s">
        <v>520</v>
      </c>
      <c r="B47" s="101"/>
      <c r="C47" s="101"/>
      <c r="D47" s="101"/>
      <c r="E47" s="102"/>
      <c r="F47" s="101"/>
    </row>
    <row customHeight="true" ht="42" r="48">
      <c r="A48" s="103" t="s">
        <v>521</v>
      </c>
      <c r="B48" s="103"/>
      <c r="C48" s="103"/>
      <c r="D48" s="103"/>
      <c r="E48" s="104"/>
      <c r="F48" s="103"/>
    </row>
    <row customHeight="true" ht="42" r="49">
      <c r="A49" s="101" t="s">
        <v>521</v>
      </c>
      <c r="B49" s="101"/>
      <c r="C49" s="101"/>
      <c r="D49" s="101"/>
      <c r="E49" s="102"/>
      <c r="F49" s="101"/>
    </row>
    <row customHeight="true" ht="25" r="50">
      <c r="A50" s="97"/>
      <c r="B50" s="97"/>
      <c r="C50" s="97"/>
      <c r="D50" s="97"/>
      <c r="E50" s="97"/>
      <c r="F50" s="97"/>
    </row>
    <row customHeight="true" ht="25" r="51">
      <c r="A51" s="97"/>
      <c r="B51" s="97"/>
      <c r="C51" s="97"/>
      <c r="D51" s="97"/>
      <c r="E51" s="97"/>
      <c r="F51" s="97"/>
    </row>
  </sheetData>
  <pageMargins bottom="0.75" footer="0.3" header="0.3" left="0.7" right="0.7" top="0.75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C3" xSplit="2" ySplit="2"/>
    </sheetView>
  </sheetViews>
  <sheetFormatPr defaultRowHeight="16"/>
  <cols>
    <col collapsed="false" customWidth="true" hidden="false" max="3" min="3" style="0" width="17"/>
    <col collapsed="false" customWidth="true" hidden="false" max="5" min="5" style="0" width="16"/>
    <col collapsed="false" customWidth="true" hidden="false" max="7" min="7" style="0" width="16"/>
    <col collapsed="false" customWidth="true" hidden="false" max="9" min="9" style="0" width="17"/>
    <col collapsed="false" customWidth="true" hidden="false" max="11" min="11" style="0" width="19"/>
    <col collapsed="false" customWidth="true" hidden="false" max="1" min="1" style="0" width="13"/>
    <col collapsed="false" customWidth="true" hidden="false" max="4" min="4" style="0" width="16"/>
    <col collapsed="false" customWidth="true" hidden="false" max="6" min="6" style="0" width="16"/>
    <col collapsed="false" customWidth="true" hidden="false" max="8" min="8" style="0" width="32"/>
    <col collapsed="false" customWidth="true" hidden="false" max="10" min="10" style="0" width="16"/>
    <col collapsed="false" customWidth="true" hidden="false" max="12" min="12" style="0" width="45"/>
    <col collapsed="false" customWidth="true" hidden="false" max="2" min="2" style="0" width="16"/>
  </cols>
  <sheetData>
    <row customHeight="true" ht="31" r="1">
      <c r="A1" s="105" t="s">
        <v>522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</row>
    <row customHeight="true" ht="34" r="2">
      <c r="A2" s="107" t="s">
        <v>523</v>
      </c>
      <c r="B2" s="108" t="s">
        <v>524</v>
      </c>
      <c r="C2" s="108" t="s">
        <v>525</v>
      </c>
      <c r="D2" s="108" t="s">
        <v>526</v>
      </c>
      <c r="E2" s="108" t="s">
        <v>527</v>
      </c>
      <c r="F2" s="108" t="s">
        <v>528</v>
      </c>
      <c r="G2" s="108" t="s">
        <v>529</v>
      </c>
      <c r="H2" s="108" t="s">
        <v>530</v>
      </c>
      <c r="I2" s="108" t="s">
        <v>531</v>
      </c>
      <c r="J2" s="108" t="s">
        <v>532</v>
      </c>
      <c r="K2" s="108" t="s">
        <v>533</v>
      </c>
      <c r="L2" s="109" t="s">
        <v>534</v>
      </c>
    </row>
    <row customHeight="true" ht="27" r="3">
      <c r="A3" s="110" t="s">
        <v>535</v>
      </c>
      <c r="B3" s="110"/>
      <c r="C3" s="111">
        <v>1</v>
      </c>
      <c r="D3" s="112">
        <v>-15</v>
      </c>
      <c r="E3" s="112"/>
      <c r="F3" s="110"/>
      <c r="G3" s="112"/>
      <c r="H3" s="110"/>
      <c r="I3" s="111"/>
      <c r="J3" s="110"/>
      <c r="K3" s="110" t="s">
        <v>536</v>
      </c>
      <c r="L3" s="110" t="s">
        <v>537</v>
      </c>
    </row>
    <row customHeight="true" ht="42" r="4">
      <c r="A4" s="113" t="s">
        <v>538</v>
      </c>
      <c r="B4" s="113"/>
      <c r="C4" s="114">
        <v>1</v>
      </c>
      <c r="D4" s="115">
        <v>20</v>
      </c>
      <c r="E4" s="115"/>
      <c r="F4" s="113" t="s">
        <v>539</v>
      </c>
      <c r="G4" s="115">
        <v>1</v>
      </c>
      <c r="H4" s="113"/>
      <c r="I4" s="114"/>
      <c r="J4" s="113"/>
      <c r="K4" s="113" t="s">
        <v>536</v>
      </c>
      <c r="L4" s="113" t="s">
        <v>540</v>
      </c>
    </row>
    <row customHeight="true" ht="27" r="5">
      <c r="A5" s="110" t="s">
        <v>541</v>
      </c>
      <c r="B5" s="110"/>
      <c r="C5" s="111">
        <v>1</v>
      </c>
      <c r="D5" s="112">
        <v>-12</v>
      </c>
      <c r="E5" s="112">
        <v>10</v>
      </c>
      <c r="F5" s="110"/>
      <c r="G5" s="112"/>
      <c r="H5" s="110"/>
      <c r="I5" s="111"/>
      <c r="J5" s="110"/>
      <c r="K5" s="110" t="s">
        <v>536</v>
      </c>
      <c r="L5" s="110" t="s">
        <v>537</v>
      </c>
    </row>
    <row customHeight="true" ht="27" r="6">
      <c r="A6" s="113" t="s">
        <v>542</v>
      </c>
      <c r="B6" s="113"/>
      <c r="C6" s="114">
        <v>1</v>
      </c>
      <c r="D6" s="115">
        <v>15</v>
      </c>
      <c r="E6" s="115"/>
      <c r="F6" s="113"/>
      <c r="G6" s="115"/>
      <c r="H6" s="113" t="s">
        <v>543</v>
      </c>
      <c r="I6" s="114">
        <v>-0.15</v>
      </c>
      <c r="J6" s="113"/>
      <c r="K6" s="113" t="s">
        <v>536</v>
      </c>
      <c r="L6" s="113" t="s">
        <v>537</v>
      </c>
    </row>
    <row customHeight="true" ht="27" r="7">
      <c r="A7" s="110" t="s">
        <v>544</v>
      </c>
      <c r="B7" s="110"/>
      <c r="C7" s="111">
        <v>1</v>
      </c>
      <c r="D7" s="112">
        <v>-20</v>
      </c>
      <c r="E7" s="112"/>
      <c r="F7" s="110" t="s">
        <v>545</v>
      </c>
      <c r="G7" s="112">
        <v>1</v>
      </c>
      <c r="H7" s="110"/>
      <c r="I7" s="111"/>
      <c r="J7" s="110"/>
      <c r="K7" s="110" t="s">
        <v>536</v>
      </c>
      <c r="L7" s="110"/>
    </row>
    <row customHeight="true" ht="27" r="8">
      <c r="A8" s="113" t="s">
        <v>546</v>
      </c>
      <c r="B8" s="113"/>
      <c r="C8" s="114">
        <v>1</v>
      </c>
      <c r="D8" s="115">
        <v>20</v>
      </c>
      <c r="E8" s="115"/>
      <c r="F8" s="113" t="s">
        <v>539</v>
      </c>
      <c r="G8" s="115">
        <v>1</v>
      </c>
      <c r="H8" s="113"/>
      <c r="I8" s="114"/>
      <c r="J8" s="113"/>
      <c r="K8" s="113" t="s">
        <v>536</v>
      </c>
      <c r="L8" s="113"/>
    </row>
    <row customHeight="true" ht="27" r="9">
      <c r="A9" s="110" t="s">
        <v>547</v>
      </c>
      <c r="B9" s="110"/>
      <c r="C9" s="111">
        <v>1</v>
      </c>
      <c r="D9" s="112">
        <v>-15</v>
      </c>
      <c r="E9" s="112"/>
      <c r="F9" s="110" t="s">
        <v>539</v>
      </c>
      <c r="G9" s="112">
        <v>1</v>
      </c>
      <c r="H9" s="110"/>
      <c r="I9" s="111"/>
      <c r="J9" s="110"/>
      <c r="K9" s="110" t="s">
        <v>536</v>
      </c>
      <c r="L9" s="110"/>
    </row>
    <row customHeight="true" ht="27" r="10">
      <c r="A10" s="113" t="s">
        <v>548</v>
      </c>
      <c r="B10" s="113"/>
      <c r="C10" s="114">
        <v>1</v>
      </c>
      <c r="D10" s="115">
        <v>15</v>
      </c>
      <c r="E10" s="115">
        <v>25</v>
      </c>
      <c r="F10" s="113"/>
      <c r="G10" s="115"/>
      <c r="H10" s="113"/>
      <c r="I10" s="114"/>
      <c r="J10" s="113"/>
      <c r="K10" s="113" t="s">
        <v>536</v>
      </c>
      <c r="L10" s="113" t="s">
        <v>549</v>
      </c>
    </row>
    <row customHeight="true" ht="27" r="11">
      <c r="A11" s="110" t="s">
        <v>550</v>
      </c>
      <c r="B11" s="110"/>
      <c r="C11" s="111">
        <v>1</v>
      </c>
      <c r="D11" s="112">
        <v>-15</v>
      </c>
      <c r="E11" s="112"/>
      <c r="F11" s="110"/>
      <c r="G11" s="112"/>
      <c r="H11" s="110"/>
      <c r="I11" s="111"/>
      <c r="J11" s="110"/>
      <c r="K11" s="110" t="s">
        <v>536</v>
      </c>
      <c r="L11" s="110"/>
    </row>
    <row customHeight="true" ht="27" r="12">
      <c r="A12" s="113" t="s">
        <v>551</v>
      </c>
      <c r="B12" s="113"/>
      <c r="C12" s="114">
        <v>1</v>
      </c>
      <c r="D12" s="115">
        <v>20</v>
      </c>
      <c r="E12" s="115"/>
      <c r="F12" s="113"/>
      <c r="G12" s="115"/>
      <c r="H12" s="113" t="s">
        <v>552</v>
      </c>
      <c r="I12" s="114">
        <v>0.15</v>
      </c>
      <c r="J12" s="113"/>
      <c r="K12" s="113" t="s">
        <v>536</v>
      </c>
      <c r="L12" s="113"/>
    </row>
    <row customHeight="true" ht="27" r="13">
      <c r="A13" s="110" t="s">
        <v>553</v>
      </c>
      <c r="B13" s="110"/>
      <c r="C13" s="111">
        <v>1</v>
      </c>
      <c r="D13" s="112">
        <v>-20</v>
      </c>
      <c r="E13" s="112"/>
      <c r="F13" s="110" t="s">
        <v>554</v>
      </c>
      <c r="G13" s="112">
        <v>1</v>
      </c>
      <c r="H13" s="110"/>
      <c r="I13" s="111"/>
      <c r="J13" s="110"/>
      <c r="K13" s="110" t="s">
        <v>536</v>
      </c>
      <c r="L13" s="110"/>
    </row>
    <row customHeight="true" ht="27" r="14">
      <c r="A14" s="113" t="s">
        <v>555</v>
      </c>
      <c r="B14" s="113"/>
      <c r="C14" s="114">
        <v>1</v>
      </c>
      <c r="D14" s="115">
        <v>15</v>
      </c>
      <c r="E14" s="115"/>
      <c r="F14" s="113"/>
      <c r="G14" s="115"/>
      <c r="H14" s="113"/>
      <c r="I14" s="114"/>
      <c r="J14" s="113"/>
      <c r="K14" s="113" t="s">
        <v>536</v>
      </c>
      <c r="L14" s="113" t="s">
        <v>549</v>
      </c>
    </row>
    <row customHeight="true" ht="27" r="15">
      <c r="A15" s="110" t="s">
        <v>556</v>
      </c>
      <c r="B15" s="110"/>
      <c r="C15" s="111">
        <v>1</v>
      </c>
      <c r="D15" s="112">
        <v>-15</v>
      </c>
      <c r="E15" s="112">
        <v>10</v>
      </c>
      <c r="F15" s="110"/>
      <c r="G15" s="112"/>
      <c r="H15" s="110"/>
      <c r="I15" s="111"/>
      <c r="J15" s="110"/>
      <c r="K15" s="110" t="s">
        <v>536</v>
      </c>
      <c r="L15" s="110" t="s">
        <v>549</v>
      </c>
    </row>
    <row customHeight="true" ht="27" r="16">
      <c r="A16" s="113" t="s">
        <v>557</v>
      </c>
      <c r="B16" s="113"/>
      <c r="C16" s="114">
        <v>1</v>
      </c>
      <c r="D16" s="115">
        <v>20</v>
      </c>
      <c r="E16" s="115">
        <v>25</v>
      </c>
      <c r="F16" s="113"/>
      <c r="G16" s="115"/>
      <c r="H16" s="113"/>
      <c r="I16" s="114"/>
      <c r="J16" s="113"/>
      <c r="K16" s="113" t="s">
        <v>536</v>
      </c>
      <c r="L16" s="113"/>
    </row>
    <row customHeight="true" ht="42" r="17">
      <c r="A17" s="110" t="s">
        <v>558</v>
      </c>
      <c r="B17" s="110"/>
      <c r="C17" s="111">
        <v>1</v>
      </c>
      <c r="D17" s="112">
        <v>-20</v>
      </c>
      <c r="E17" s="112"/>
      <c r="F17" s="110"/>
      <c r="G17" s="112"/>
      <c r="H17" s="110"/>
      <c r="I17" s="111"/>
      <c r="J17" s="110"/>
      <c r="K17" s="110" t="s">
        <v>559</v>
      </c>
      <c r="L17" s="110" t="s">
        <v>560</v>
      </c>
    </row>
    <row customHeight="true" ht="27" r="18">
      <c r="A18" s="113" t="s">
        <v>561</v>
      </c>
      <c r="B18" s="113"/>
      <c r="C18" s="114">
        <v>1</v>
      </c>
      <c r="D18" s="115">
        <v>25</v>
      </c>
      <c r="E18" s="115"/>
      <c r="F18" s="113"/>
      <c r="G18" s="115"/>
      <c r="H18" s="113"/>
      <c r="I18" s="114"/>
      <c r="J18" s="113"/>
      <c r="K18" s="113" t="s">
        <v>536</v>
      </c>
      <c r="L18" s="113"/>
    </row>
    <row customHeight="true" ht="27" r="19">
      <c r="A19" s="110" t="s">
        <v>562</v>
      </c>
      <c r="B19" s="110"/>
      <c r="C19" s="111">
        <v>1</v>
      </c>
      <c r="D19" s="112">
        <v>-18</v>
      </c>
      <c r="E19" s="112"/>
      <c r="F19" s="110" t="s">
        <v>539</v>
      </c>
      <c r="G19" s="112">
        <v>1</v>
      </c>
      <c r="H19" s="110"/>
      <c r="I19" s="111"/>
      <c r="J19" s="110"/>
      <c r="K19" s="110" t="s">
        <v>536</v>
      </c>
      <c r="L19" s="110"/>
    </row>
    <row customHeight="true" ht="42" r="20">
      <c r="A20" s="113" t="s">
        <v>563</v>
      </c>
      <c r="B20" s="113"/>
      <c r="C20" s="114">
        <v>1</v>
      </c>
      <c r="D20" s="115">
        <v>20</v>
      </c>
      <c r="E20" s="115"/>
      <c r="F20" s="113"/>
      <c r="G20" s="115"/>
      <c r="H20" s="113"/>
      <c r="I20" s="114"/>
      <c r="J20" s="113"/>
      <c r="K20" s="113" t="s">
        <v>559</v>
      </c>
      <c r="L20" s="113" t="s">
        <v>560</v>
      </c>
    </row>
    <row customHeight="true" ht="27" r="21">
      <c r="A21" s="110" t="s">
        <v>564</v>
      </c>
      <c r="B21" s="110"/>
      <c r="C21" s="111">
        <v>1</v>
      </c>
      <c r="D21" s="112">
        <v>-20</v>
      </c>
      <c r="E21" s="112"/>
      <c r="F21" s="110"/>
      <c r="G21" s="112"/>
      <c r="H21" s="110" t="s">
        <v>565</v>
      </c>
      <c r="I21" s="111">
        <v>0.2</v>
      </c>
      <c r="J21" s="110"/>
      <c r="K21" s="110" t="s">
        <v>536</v>
      </c>
      <c r="L21" s="110"/>
    </row>
    <row customHeight="true" ht="27" r="22">
      <c r="A22" s="113" t="s">
        <v>566</v>
      </c>
      <c r="B22" s="113"/>
      <c r="C22" s="114">
        <v>1</v>
      </c>
      <c r="D22" s="115">
        <v>12</v>
      </c>
      <c r="E22" s="115"/>
      <c r="F22" s="113"/>
      <c r="G22" s="115"/>
      <c r="H22" s="113"/>
      <c r="I22" s="114"/>
      <c r="J22" s="113"/>
      <c r="K22" s="113" t="s">
        <v>536</v>
      </c>
      <c r="L22" s="113"/>
    </row>
    <row customHeight="true" ht="27" r="23">
      <c r="A23" s="110" t="s">
        <v>567</v>
      </c>
      <c r="B23" s="110"/>
      <c r="C23" s="111">
        <v>1</v>
      </c>
      <c r="D23" s="112">
        <v>-15</v>
      </c>
      <c r="E23" s="112"/>
      <c r="F23" s="110" t="s">
        <v>545</v>
      </c>
      <c r="G23" s="112">
        <v>1</v>
      </c>
      <c r="H23" s="110"/>
      <c r="I23" s="111"/>
      <c r="J23" s="110"/>
      <c r="K23" s="110" t="s">
        <v>536</v>
      </c>
      <c r="L23" s="110"/>
    </row>
    <row customHeight="true" ht="27" r="24">
      <c r="A24" s="113" t="s">
        <v>568</v>
      </c>
      <c r="B24" s="113"/>
      <c r="C24" s="114">
        <v>1</v>
      </c>
      <c r="D24" s="115">
        <v>15</v>
      </c>
      <c r="E24" s="115"/>
      <c r="F24" s="113" t="s">
        <v>539</v>
      </c>
      <c r="G24" s="115">
        <v>1</v>
      </c>
      <c r="H24" s="113"/>
      <c r="I24" s="114"/>
      <c r="J24" s="113"/>
      <c r="K24" s="113" t="s">
        <v>536</v>
      </c>
      <c r="L24" s="113"/>
    </row>
    <row customHeight="true" ht="42" r="25">
      <c r="A25" s="110" t="s">
        <v>569</v>
      </c>
      <c r="B25" s="110"/>
      <c r="C25" s="111">
        <v>1</v>
      </c>
      <c r="D25" s="112">
        <v>-25</v>
      </c>
      <c r="E25" s="112"/>
      <c r="F25" s="110"/>
      <c r="G25" s="112"/>
      <c r="H25" s="110"/>
      <c r="I25" s="111"/>
      <c r="J25" s="110"/>
      <c r="K25" s="110" t="s">
        <v>559</v>
      </c>
      <c r="L25" s="110" t="s">
        <v>560</v>
      </c>
    </row>
    <row customHeight="true" ht="27" r="26">
      <c r="A26" s="113" t="s">
        <v>570</v>
      </c>
      <c r="B26" s="113"/>
      <c r="C26" s="114">
        <v>1</v>
      </c>
      <c r="D26" s="115">
        <v>20</v>
      </c>
      <c r="E26" s="115"/>
      <c r="F26" s="113"/>
      <c r="G26" s="115"/>
      <c r="H26" s="113" t="s">
        <v>552</v>
      </c>
      <c r="I26" s="114">
        <v>0.15</v>
      </c>
      <c r="J26" s="113"/>
      <c r="K26" s="113" t="s">
        <v>536</v>
      </c>
      <c r="L26" s="113"/>
    </row>
    <row customHeight="true" ht="57" r="27">
      <c r="A27" s="110" t="s">
        <v>571</v>
      </c>
      <c r="B27" s="110"/>
      <c r="C27" s="111">
        <v>1</v>
      </c>
      <c r="D27" s="112">
        <v>-15</v>
      </c>
      <c r="E27" s="112"/>
      <c r="F27" s="110"/>
      <c r="G27" s="112"/>
      <c r="H27" s="110"/>
      <c r="I27" s="111"/>
      <c r="J27" s="110"/>
      <c r="K27" s="110" t="s">
        <v>572</v>
      </c>
      <c r="L27" s="110" t="s">
        <v>573</v>
      </c>
    </row>
    <row customHeight="true" ht="57" r="28">
      <c r="A28" s="113" t="s">
        <v>574</v>
      </c>
      <c r="B28" s="113"/>
      <c r="C28" s="114">
        <v>1</v>
      </c>
      <c r="D28" s="115">
        <v>0</v>
      </c>
      <c r="E28" s="115"/>
      <c r="F28" s="113"/>
      <c r="G28" s="115"/>
      <c r="H28" s="113"/>
      <c r="I28" s="114"/>
      <c r="J28" s="113"/>
      <c r="K28" s="113" t="s">
        <v>572</v>
      </c>
      <c r="L28" s="113" t="s">
        <v>573</v>
      </c>
    </row>
    <row customHeight="true" ht="57" r="29">
      <c r="A29" s="110" t="s">
        <v>575</v>
      </c>
      <c r="B29" s="110"/>
      <c r="C29" s="111">
        <v>1</v>
      </c>
      <c r="D29" s="112">
        <v>20</v>
      </c>
      <c r="E29" s="112"/>
      <c r="F29" s="110"/>
      <c r="G29" s="112"/>
      <c r="H29" s="110"/>
      <c r="I29" s="111"/>
      <c r="J29" s="110"/>
      <c r="K29" s="110" t="s">
        <v>572</v>
      </c>
      <c r="L29" s="110" t="s">
        <v>573</v>
      </c>
    </row>
    <row customHeight="true" ht="42" r="30">
      <c r="A30" s="113" t="s">
        <v>576</v>
      </c>
      <c r="B30" s="113"/>
      <c r="C30" s="114">
        <v>0.7</v>
      </c>
      <c r="D30" s="115">
        <v>-15</v>
      </c>
      <c r="E30" s="115"/>
      <c r="F30" s="113"/>
      <c r="G30" s="115"/>
      <c r="H30" s="113"/>
      <c r="I30" s="114"/>
      <c r="J30" s="113"/>
      <c r="K30" s="113" t="s">
        <v>536</v>
      </c>
      <c r="L30" s="113" t="s">
        <v>577</v>
      </c>
    </row>
    <row customHeight="true" ht="42" r="31">
      <c r="A31" s="110" t="s">
        <v>576</v>
      </c>
      <c r="B31" s="110"/>
      <c r="C31" s="111">
        <v>0.3</v>
      </c>
      <c r="D31" s="112"/>
      <c r="E31" s="112"/>
      <c r="F31" s="110"/>
      <c r="G31" s="112"/>
      <c r="H31" s="110"/>
      <c r="I31" s="111"/>
      <c r="J31" s="110" t="s">
        <v>578</v>
      </c>
      <c r="K31" s="110" t="s">
        <v>536</v>
      </c>
      <c r="L31" s="110" t="s">
        <v>577</v>
      </c>
    </row>
    <row customHeight="true" ht="42" r="32">
      <c r="A32" s="113" t="s">
        <v>579</v>
      </c>
      <c r="B32" s="113"/>
      <c r="C32" s="114">
        <v>1</v>
      </c>
      <c r="D32" s="115"/>
      <c r="E32" s="115"/>
      <c r="F32" s="113"/>
      <c r="G32" s="115"/>
      <c r="H32" s="113"/>
      <c r="I32" s="114"/>
      <c r="J32" s="113"/>
      <c r="K32" s="113" t="s">
        <v>536</v>
      </c>
      <c r="L32" s="113" t="s">
        <v>577</v>
      </c>
    </row>
    <row customHeight="true" ht="42" r="33">
      <c r="A33" s="110" t="s">
        <v>580</v>
      </c>
      <c r="B33" s="110"/>
      <c r="C33" s="111">
        <v>1</v>
      </c>
      <c r="D33" s="112">
        <v>-15</v>
      </c>
      <c r="E33" s="112"/>
      <c r="F33" s="110"/>
      <c r="G33" s="112"/>
      <c r="H33" s="110"/>
      <c r="I33" s="111"/>
      <c r="J33" s="110"/>
      <c r="K33" s="110" t="s">
        <v>536</v>
      </c>
      <c r="L33" s="110" t="s">
        <v>577</v>
      </c>
    </row>
    <row customHeight="true" ht="42" r="34">
      <c r="A34" s="113" t="s">
        <v>581</v>
      </c>
      <c r="B34" s="113"/>
      <c r="C34" s="114">
        <v>1</v>
      </c>
      <c r="D34" s="115">
        <v>20</v>
      </c>
      <c r="E34" s="115"/>
      <c r="F34" s="113" t="s">
        <v>539</v>
      </c>
      <c r="G34" s="115">
        <v>1</v>
      </c>
      <c r="H34" s="113"/>
      <c r="I34" s="114"/>
      <c r="J34" s="113"/>
      <c r="K34" s="113" t="s">
        <v>536</v>
      </c>
      <c r="L34" s="113" t="s">
        <v>577</v>
      </c>
    </row>
    <row customHeight="true" ht="42" r="35">
      <c r="A35" s="110" t="s">
        <v>582</v>
      </c>
      <c r="B35" s="110"/>
      <c r="C35" s="111">
        <v>1</v>
      </c>
      <c r="D35" s="112">
        <v>-12</v>
      </c>
      <c r="E35" s="112"/>
      <c r="F35" s="110"/>
      <c r="G35" s="112"/>
      <c r="H35" s="110" t="s">
        <v>543</v>
      </c>
      <c r="I35" s="111">
        <v>-0.15</v>
      </c>
      <c r="J35" s="110"/>
      <c r="K35" s="110" t="s">
        <v>536</v>
      </c>
      <c r="L35" s="110" t="s">
        <v>577</v>
      </c>
    </row>
    <row customHeight="true" ht="42" r="36">
      <c r="A36" s="113" t="s">
        <v>583</v>
      </c>
      <c r="B36" s="113"/>
      <c r="C36" s="114">
        <v>0.6</v>
      </c>
      <c r="D36" s="115">
        <v>-15</v>
      </c>
      <c r="E36" s="115"/>
      <c r="F36" s="113"/>
      <c r="G36" s="115"/>
      <c r="H36" s="113"/>
      <c r="I36" s="114"/>
      <c r="J36" s="113"/>
      <c r="K36" s="113" t="s">
        <v>536</v>
      </c>
      <c r="L36" s="113" t="s">
        <v>577</v>
      </c>
    </row>
    <row customHeight="true" ht="42" r="37">
      <c r="A37" s="110" t="s">
        <v>583</v>
      </c>
      <c r="B37" s="110"/>
      <c r="C37" s="111">
        <v>0.4</v>
      </c>
      <c r="D37" s="112"/>
      <c r="E37" s="112"/>
      <c r="F37" s="110"/>
      <c r="G37" s="112"/>
      <c r="H37" s="110"/>
      <c r="I37" s="111"/>
      <c r="J37" s="110" t="s">
        <v>578</v>
      </c>
      <c r="K37" s="110" t="s">
        <v>536</v>
      </c>
      <c r="L37" s="110" t="s">
        <v>577</v>
      </c>
    </row>
    <row customHeight="true" ht="42" r="38">
      <c r="A38" s="113" t="s">
        <v>584</v>
      </c>
      <c r="B38" s="113"/>
      <c r="C38" s="114">
        <v>1</v>
      </c>
      <c r="D38" s="115"/>
      <c r="E38" s="115">
        <v>25</v>
      </c>
      <c r="F38" s="113"/>
      <c r="G38" s="115"/>
      <c r="H38" s="113"/>
      <c r="I38" s="114"/>
      <c r="J38" s="113"/>
      <c r="K38" s="113" t="s">
        <v>536</v>
      </c>
      <c r="L38" s="113" t="s">
        <v>577</v>
      </c>
    </row>
    <row customHeight="true" ht="42" r="39">
      <c r="A39" s="110" t="s">
        <v>585</v>
      </c>
      <c r="B39" s="110"/>
      <c r="C39" s="111">
        <v>0.65</v>
      </c>
      <c r="D39" s="112"/>
      <c r="E39" s="112"/>
      <c r="F39" s="110" t="s">
        <v>539</v>
      </c>
      <c r="G39" s="112">
        <v>1</v>
      </c>
      <c r="H39" s="110"/>
      <c r="I39" s="111"/>
      <c r="J39" s="110"/>
      <c r="K39" s="110" t="s">
        <v>536</v>
      </c>
      <c r="L39" s="110" t="s">
        <v>577</v>
      </c>
    </row>
    <row customHeight="true" ht="42" r="40">
      <c r="A40" s="113" t="s">
        <v>585</v>
      </c>
      <c r="B40" s="113"/>
      <c r="C40" s="114">
        <v>0.35</v>
      </c>
      <c r="D40" s="115"/>
      <c r="E40" s="115"/>
      <c r="F40" s="113"/>
      <c r="G40" s="115"/>
      <c r="H40" s="113"/>
      <c r="I40" s="114"/>
      <c r="J40" s="113" t="s">
        <v>578</v>
      </c>
      <c r="K40" s="113" t="s">
        <v>536</v>
      </c>
      <c r="L40" s="113" t="s">
        <v>577</v>
      </c>
    </row>
    <row customHeight="true" ht="42" r="41">
      <c r="A41" s="110" t="s">
        <v>586</v>
      </c>
      <c r="B41" s="110"/>
      <c r="C41" s="111">
        <v>1</v>
      </c>
      <c r="D41" s="112">
        <v>-15</v>
      </c>
      <c r="E41" s="112">
        <v>10</v>
      </c>
      <c r="F41" s="110"/>
      <c r="G41" s="112"/>
      <c r="H41" s="110"/>
      <c r="I41" s="111"/>
      <c r="J41" s="110"/>
      <c r="K41" s="110" t="s">
        <v>536</v>
      </c>
      <c r="L41" s="110" t="s">
        <v>577</v>
      </c>
    </row>
    <row customHeight="true" ht="42" r="42">
      <c r="A42" s="113" t="s">
        <v>587</v>
      </c>
      <c r="B42" s="113"/>
      <c r="C42" s="114">
        <v>1</v>
      </c>
      <c r="D42" s="115">
        <v>20</v>
      </c>
      <c r="E42" s="115"/>
      <c r="F42" s="113" t="s">
        <v>539</v>
      </c>
      <c r="G42" s="115">
        <v>1</v>
      </c>
      <c r="H42" s="113"/>
      <c r="I42" s="114"/>
      <c r="J42" s="113"/>
      <c r="K42" s="113" t="s">
        <v>536</v>
      </c>
      <c r="L42" s="113" t="s">
        <v>588</v>
      </c>
    </row>
    <row customHeight="true" ht="42" r="43">
      <c r="A43" s="110" t="s">
        <v>589</v>
      </c>
      <c r="B43" s="110"/>
      <c r="C43" s="111">
        <v>1</v>
      </c>
      <c r="D43" s="112">
        <v>-12</v>
      </c>
      <c r="E43" s="112"/>
      <c r="F43" s="110"/>
      <c r="G43" s="112"/>
      <c r="H43" s="110" t="s">
        <v>543</v>
      </c>
      <c r="I43" s="111">
        <v>-0.15</v>
      </c>
      <c r="J43" s="110"/>
      <c r="K43" s="110" t="s">
        <v>536</v>
      </c>
      <c r="L43" s="110" t="s">
        <v>577</v>
      </c>
    </row>
    <row customHeight="true" ht="42" r="44">
      <c r="A44" s="113" t="s">
        <v>590</v>
      </c>
      <c r="B44" s="113"/>
      <c r="C44" s="114">
        <v>0.6</v>
      </c>
      <c r="D44" s="115"/>
      <c r="E44" s="115"/>
      <c r="F44" s="113" t="s">
        <v>545</v>
      </c>
      <c r="G44" s="115">
        <v>1</v>
      </c>
      <c r="H44" s="113"/>
      <c r="I44" s="114"/>
      <c r="J44" s="113"/>
      <c r="K44" s="113" t="s">
        <v>536</v>
      </c>
      <c r="L44" s="113" t="s">
        <v>577</v>
      </c>
    </row>
    <row customHeight="true" ht="42" r="45">
      <c r="A45" s="110" t="s">
        <v>590</v>
      </c>
      <c r="B45" s="110"/>
      <c r="C45" s="111">
        <v>0.4</v>
      </c>
      <c r="D45" s="112"/>
      <c r="E45" s="112"/>
      <c r="F45" s="110"/>
      <c r="G45" s="112"/>
      <c r="H45" s="110"/>
      <c r="I45" s="111"/>
      <c r="J45" s="110" t="s">
        <v>578</v>
      </c>
      <c r="K45" s="110" t="s">
        <v>536</v>
      </c>
      <c r="L45" s="110" t="s">
        <v>577</v>
      </c>
    </row>
    <row customHeight="true" ht="42" r="46">
      <c r="A46" s="113" t="s">
        <v>591</v>
      </c>
      <c r="B46" s="113"/>
      <c r="C46" s="114">
        <v>1</v>
      </c>
      <c r="D46" s="115">
        <v>-15</v>
      </c>
      <c r="E46" s="115"/>
      <c r="F46" s="113"/>
      <c r="G46" s="115"/>
      <c r="H46" s="113" t="s">
        <v>552</v>
      </c>
      <c r="I46" s="114">
        <v>0.15</v>
      </c>
      <c r="J46" s="113"/>
      <c r="K46" s="113" t="s">
        <v>536</v>
      </c>
      <c r="L46" s="113" t="s">
        <v>577</v>
      </c>
    </row>
    <row customHeight="true" ht="42" r="47">
      <c r="A47" s="110" t="s">
        <v>592</v>
      </c>
      <c r="B47" s="110"/>
      <c r="C47" s="111">
        <v>1</v>
      </c>
      <c r="D47" s="112">
        <v>15</v>
      </c>
      <c r="E47" s="112"/>
      <c r="F47" s="110" t="s">
        <v>539</v>
      </c>
      <c r="G47" s="112">
        <v>1</v>
      </c>
      <c r="H47" s="110"/>
      <c r="I47" s="111"/>
      <c r="J47" s="110"/>
      <c r="K47" s="110" t="s">
        <v>536</v>
      </c>
      <c r="L47" s="110" t="s">
        <v>577</v>
      </c>
    </row>
    <row customHeight="true" ht="57" r="48">
      <c r="A48" s="113" t="s">
        <v>593</v>
      </c>
      <c r="B48" s="113"/>
      <c r="C48" s="114">
        <v>1</v>
      </c>
      <c r="D48" s="115"/>
      <c r="E48" s="115"/>
      <c r="F48" s="113"/>
      <c r="G48" s="115"/>
      <c r="H48" s="113"/>
      <c r="I48" s="114"/>
      <c r="J48" s="113"/>
      <c r="K48" s="113" t="s">
        <v>594</v>
      </c>
      <c r="L48" s="113" t="s">
        <v>595</v>
      </c>
    </row>
    <row customHeight="true" ht="42" r="49">
      <c r="A49" s="110" t="s">
        <v>596</v>
      </c>
      <c r="B49" s="110"/>
      <c r="C49" s="111">
        <v>0.6</v>
      </c>
      <c r="D49" s="112"/>
      <c r="E49" s="112"/>
      <c r="F49" s="110" t="s">
        <v>539</v>
      </c>
      <c r="G49" s="112">
        <v>1</v>
      </c>
      <c r="H49" s="110"/>
      <c r="I49" s="111"/>
      <c r="J49" s="110"/>
      <c r="K49" s="110" t="s">
        <v>536</v>
      </c>
      <c r="L49" s="110" t="s">
        <v>577</v>
      </c>
    </row>
    <row customHeight="true" ht="42" r="50">
      <c r="A50" s="113" t="s">
        <v>596</v>
      </c>
      <c r="B50" s="113"/>
      <c r="C50" s="114">
        <v>0.4</v>
      </c>
      <c r="D50" s="115"/>
      <c r="E50" s="115"/>
      <c r="F50" s="113"/>
      <c r="G50" s="115"/>
      <c r="H50" s="113"/>
      <c r="I50" s="114"/>
      <c r="J50" s="113" t="s">
        <v>578</v>
      </c>
      <c r="K50" s="113" t="s">
        <v>536</v>
      </c>
      <c r="L50" s="113" t="s">
        <v>577</v>
      </c>
    </row>
    <row customHeight="true" ht="42" r="51">
      <c r="A51" s="110" t="s">
        <v>597</v>
      </c>
      <c r="B51" s="110"/>
      <c r="C51" s="111">
        <v>0.8</v>
      </c>
      <c r="D51" s="112">
        <v>-15</v>
      </c>
      <c r="E51" s="112"/>
      <c r="F51" s="110"/>
      <c r="G51" s="112"/>
      <c r="H51" s="110"/>
      <c r="I51" s="111"/>
      <c r="J51" s="110"/>
      <c r="K51" s="110" t="s">
        <v>536</v>
      </c>
      <c r="L51" s="110" t="s">
        <v>577</v>
      </c>
    </row>
    <row customHeight="true" ht="42" r="52">
      <c r="A52" s="113" t="s">
        <v>597</v>
      </c>
      <c r="B52" s="113"/>
      <c r="C52" s="114">
        <v>0.2</v>
      </c>
      <c r="D52" s="115">
        <v>-15</v>
      </c>
      <c r="E52" s="115"/>
      <c r="F52" s="113"/>
      <c r="G52" s="115"/>
      <c r="H52" s="113"/>
      <c r="I52" s="114"/>
      <c r="J52" s="113" t="s">
        <v>578</v>
      </c>
      <c r="K52" s="113" t="s">
        <v>536</v>
      </c>
      <c r="L52" s="113" t="s">
        <v>577</v>
      </c>
    </row>
    <row customHeight="true" ht="42" r="53">
      <c r="A53" s="110" t="s">
        <v>598</v>
      </c>
      <c r="B53" s="110"/>
      <c r="C53" s="111">
        <v>0.6</v>
      </c>
      <c r="D53" s="112"/>
      <c r="E53" s="112"/>
      <c r="F53" s="110" t="s">
        <v>539</v>
      </c>
      <c r="G53" s="112">
        <v>1</v>
      </c>
      <c r="H53" s="110"/>
      <c r="I53" s="111"/>
      <c r="J53" s="110"/>
      <c r="K53" s="110" t="s">
        <v>536</v>
      </c>
      <c r="L53" s="110" t="s">
        <v>588</v>
      </c>
    </row>
    <row customHeight="true" ht="42" r="54">
      <c r="A54" s="113" t="s">
        <v>598</v>
      </c>
      <c r="B54" s="113"/>
      <c r="C54" s="114">
        <v>0.4</v>
      </c>
      <c r="D54" s="115"/>
      <c r="E54" s="115"/>
      <c r="F54" s="113"/>
      <c r="G54" s="115"/>
      <c r="H54" s="113"/>
      <c r="I54" s="114"/>
      <c r="J54" s="113" t="s">
        <v>578</v>
      </c>
      <c r="K54" s="113" t="s">
        <v>536</v>
      </c>
      <c r="L54" s="113" t="s">
        <v>588</v>
      </c>
    </row>
    <row customHeight="true" ht="42" r="55">
      <c r="A55" s="110" t="s">
        <v>599</v>
      </c>
      <c r="B55" s="110"/>
      <c r="C55" s="111">
        <v>1</v>
      </c>
      <c r="D55" s="112">
        <v>-15</v>
      </c>
      <c r="E55" s="112"/>
      <c r="F55" s="110"/>
      <c r="G55" s="112"/>
      <c r="H55" s="110" t="s">
        <v>565</v>
      </c>
      <c r="I55" s="111">
        <v>0.2</v>
      </c>
      <c r="J55" s="110"/>
      <c r="K55" s="110" t="s">
        <v>536</v>
      </c>
      <c r="L55" s="110" t="s">
        <v>577</v>
      </c>
    </row>
    <row customHeight="true" ht="42" r="56">
      <c r="A56" s="113" t="s">
        <v>600</v>
      </c>
      <c r="B56" s="113"/>
      <c r="C56" s="114">
        <v>1</v>
      </c>
      <c r="D56" s="115">
        <v>15</v>
      </c>
      <c r="E56" s="115">
        <v>15</v>
      </c>
      <c r="F56" s="113"/>
      <c r="G56" s="115"/>
      <c r="H56" s="113"/>
      <c r="I56" s="114"/>
      <c r="J56" s="113"/>
      <c r="K56" s="113" t="s">
        <v>536</v>
      </c>
      <c r="L56" s="113" t="s">
        <v>577</v>
      </c>
    </row>
    <row customHeight="true" ht="25" r="57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</row>
    <row customHeight="true" ht="25" r="58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</row>
  </sheetData>
  <conditionalFormatting sqref="K3:K56">
    <cfRule dxfId="5" operator="containsText" priority="1" stopIfTrue="true" text="待" type="containsText">
      <formula>NOT(ISERROR(SEARCH("待",K3)))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